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f4cfa2b00634c267/Рабочий стол/"/>
    </mc:Choice>
  </mc:AlternateContent>
  <xr:revisionPtr revIDLastSave="351" documentId="8_{CA7A72AE-D3EA-48DF-9999-A3F10F86BFB4}" xr6:coauthVersionLast="47" xr6:coauthVersionMax="47" xr10:uidLastSave="{F3FC2FF2-7636-475A-ACA2-3F177C8D7523}"/>
  <bookViews>
    <workbookView xWindow="-120" yWindow="-120" windowWidth="38640" windowHeight="21120" activeTab="1" xr2:uid="{B4929CDC-8F83-4BFD-A975-69A0E87926DA}"/>
  </bookViews>
  <sheets>
    <sheet name="Завдання" sheetId="4" r:id="rId1"/>
    <sheet name="Виконання" sheetId="5" r:id="rId2"/>
    <sheet name="Користувачі" sheetId="1" r:id="rId3"/>
    <sheet name="Рахунки" sheetId="2" r:id="rId4"/>
  </sheets>
  <definedNames>
    <definedName name="_xlnm._FilterDatabase" localSheetId="2" hidden="1">Користувачі!$A$1:$D$82</definedName>
    <definedName name="_xlnm._FilterDatabase" localSheetId="3" hidden="1">Рахунки!#REF!</definedName>
    <definedName name="Slicer_Прайс">#N/A</definedName>
    <definedName name="Slicer_Прайс1">#N/A</definedName>
    <definedName name="Slicer_Рік_місяць">#N/A</definedName>
    <definedName name="Slicer_Рік_місяць1">#N/A</definedName>
  </definedNames>
  <calcPr calcId="191028"/>
  <pivotCaches>
    <pivotCache cacheId="544" r:id="rId5"/>
    <pivotCache cacheId="545" r:id="rId6"/>
    <pivotCache cacheId="555" r:id="rId7"/>
    <pivotCache cacheId="576" r:id="rId8"/>
  </pivotCaches>
  <extLst>
    <ext xmlns:x14="http://schemas.microsoft.com/office/spreadsheetml/2009/9/main" uri="{876F7934-8845-4945-9796-88D515C7AA90}">
      <x14:pivotCaches>
        <pivotCache cacheId="395" r:id="rId9"/>
        <pivotCache cacheId="55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_93ceda39-16f8-449b-b968-1a81e176a363" name="users" connection="Query - users"/>
          <x15:modelTable id="invoice_2eaf5392-46a3-45a4-ab7d-be4c4383f620" name="invoice" connection="Query - invoice"/>
          <x15:modelTable id="users_id_381e3489-5115-4660-af88-1b6a2432c134" name="users_id" connection="Query - users_id"/>
        </x15:modelTables>
        <x15:modelRelationships>
          <x15:modelRelationship fromTable="users" fromColumn="ID" toTable="invoice"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2171CE-C427-4A29-92C6-81ADBCEF609B}" name="Query - invoice" description="Connection to the 'invoice' query in the workbook." type="100" refreshedVersion="8" minRefreshableVersion="5">
    <extLst>
      <ext xmlns:x15="http://schemas.microsoft.com/office/spreadsheetml/2010/11/main" uri="{DE250136-89BD-433C-8126-D09CA5730AF9}">
        <x15:connection id="ac697b3e-ce9e-4b72-9a0b-451b398063ad">
          <x15:oledbPr connection="Provider=Microsoft.Mashup.OleDb.1;Data Source=$Workbook$;Location=invoice;Extended Properties=&quot;&quot;">
            <x15:dbTables>
              <x15:dbTable name="invoice"/>
            </x15:dbTables>
          </x15:oledbPr>
        </x15:connection>
      </ext>
    </extLst>
  </connection>
  <connection id="2" xr16:uid="{41453F23-7B47-4091-A74E-1236E2156CB4}" name="Query - users" description="Connection to the 'users' query in the workbook." type="100" refreshedVersion="8" minRefreshableVersion="5">
    <extLst>
      <ext xmlns:x15="http://schemas.microsoft.com/office/spreadsheetml/2010/11/main" uri="{DE250136-89BD-433C-8126-D09CA5730AF9}">
        <x15:connection id="b6a0e461-53f2-4124-89c2-e5bb14321ca5"/>
      </ext>
    </extLst>
  </connection>
  <connection id="3" xr16:uid="{3AF2CD90-C1DE-4009-8BF0-0D206E83F869}" name="Query - users_id" description="Connection to the 'users_id' query in the workbook." type="100" refreshedVersion="8" minRefreshableVersion="5">
    <extLst>
      <ext xmlns:x15="http://schemas.microsoft.com/office/spreadsheetml/2010/11/main" uri="{DE250136-89BD-433C-8126-D09CA5730AF9}">
        <x15:connection id="67460b4b-4547-4ea9-800a-36a17dd6bda4">
          <x15:oledbPr connection="Provider=Microsoft.Mashup.OleDb.1;Data Source=$Workbook$;Location=users_id;Extended Properties=&quot;&quot;">
            <x15:dbTables>
              <x15:dbTable name="users_id"/>
            </x15:dbTables>
          </x15:oledbPr>
        </x15:connection>
      </ext>
    </extLst>
  </connection>
  <connection id="4" xr16:uid="{9BD51673-28F4-4680-A586-F901F27FB7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<sst xmlns="http://schemas.openxmlformats.org/spreadsheetml/2006/main" count="733" uniqueCount="197">
  <si>
    <t>Тестове завдання</t>
  </si>
  <si>
    <t>Опис</t>
  </si>
  <si>
    <t>Побудова зведених таблиць на основі двох таблиць: Користувачі і Рахунки</t>
  </si>
  <si>
    <t>Таблиці</t>
  </si>
  <si>
    <t>1. Користувачі</t>
  </si>
  <si>
    <r>
      <rPr>
        <b/>
        <sz val="12"/>
        <color theme="1"/>
        <rFont val="Aptos Narrow"/>
        <family val="2"/>
        <scheme val="minor"/>
      </rPr>
      <t>Колонки</t>
    </r>
    <r>
      <rPr>
        <sz val="12"/>
        <color theme="1"/>
        <rFont val="Aptos Narrow"/>
        <family val="2"/>
        <scheme val="minor"/>
      </rPr>
      <t>: ID, Клієнт, Логін (ідентифікатор користувача), Посада</t>
    </r>
  </si>
  <si>
    <t>2. Рахунки</t>
  </si>
  <si>
    <r>
      <rPr>
        <b/>
        <sz val="12"/>
        <color theme="1"/>
        <rFont val="Aptos Narrow"/>
        <family val="2"/>
        <scheme val="minor"/>
      </rPr>
      <t>Колонки</t>
    </r>
    <r>
      <rPr>
        <sz val="12"/>
        <color theme="1"/>
        <rFont val="Aptos Narrow"/>
        <family val="2"/>
        <scheme val="minor"/>
      </rPr>
      <t>: Канал продажу, ID, Клієнт, Прайс, Номер рахунку, Рік_місяць, Сегмент, Сума, євро</t>
    </r>
  </si>
  <si>
    <t>Завдання</t>
  </si>
  <si>
    <t>Створити зведені таблиці (Pivot tables) з розрахунком загальної суми і середнього чека по користувачах і  клієнтах</t>
  </si>
  <si>
    <r>
      <t xml:space="preserve">1. Зведені таблиці по користувачах </t>
    </r>
    <r>
      <rPr>
        <sz val="12"/>
        <rFont val="Calibri"/>
        <family val="2"/>
        <charset val="204"/>
      </rPr>
      <t>(по каналах і сегментах окремо)</t>
    </r>
  </si>
  <si>
    <r>
      <rPr>
        <b/>
        <sz val="12"/>
        <color theme="1"/>
        <rFont val="Aptos Narrow"/>
        <family val="2"/>
        <scheme val="minor"/>
      </rPr>
      <t>Поля</t>
    </r>
    <r>
      <rPr>
        <sz val="12"/>
        <color theme="1"/>
        <rFont val="Aptos Narrow"/>
        <family val="2"/>
        <scheme val="minor"/>
      </rPr>
      <t xml:space="preserve">: Канал, Посада, К-ть користувачів, Сума, Ср. чек по користувачах
</t>
    </r>
    <r>
      <rPr>
        <b/>
        <sz val="12"/>
        <color theme="1"/>
        <rFont val="Aptos Narrow"/>
        <family val="2"/>
        <scheme val="minor"/>
      </rPr>
      <t>Фільтри (Зрізи)</t>
    </r>
    <r>
      <rPr>
        <sz val="12"/>
        <color theme="1"/>
        <rFont val="Aptos Narrow"/>
        <family val="2"/>
        <scheme val="minor"/>
      </rPr>
      <t>: Період (Рік_місяць), Прайс</t>
    </r>
  </si>
  <si>
    <r>
      <rPr>
        <b/>
        <sz val="12"/>
        <color theme="1"/>
        <rFont val="Aptos Narrow"/>
        <family val="2"/>
        <scheme val="minor"/>
      </rPr>
      <t>Поля</t>
    </r>
    <r>
      <rPr>
        <sz val="12"/>
        <color theme="1"/>
        <rFont val="Aptos Narrow"/>
        <family val="2"/>
        <scheme val="minor"/>
      </rPr>
      <t xml:space="preserve">: Сегмент, Посада, К-ть користувачів, Сума, Ср. чек по користувачах
</t>
    </r>
    <r>
      <rPr>
        <b/>
        <sz val="12"/>
        <color theme="1"/>
        <rFont val="Aptos Narrow"/>
        <family val="2"/>
        <scheme val="minor"/>
      </rPr>
      <t>Фільтри (Зрізи)</t>
    </r>
    <r>
      <rPr>
        <sz val="12"/>
        <color theme="1"/>
        <rFont val="Aptos Narrow"/>
        <family val="2"/>
        <scheme val="minor"/>
      </rPr>
      <t>: Період (Рік_місяць), Прайс</t>
    </r>
  </si>
  <si>
    <r>
      <t xml:space="preserve">2. Зведені таблиці по клієнтах </t>
    </r>
    <r>
      <rPr>
        <sz val="12"/>
        <rFont val="Calibri"/>
        <family val="2"/>
        <charset val="204"/>
      </rPr>
      <t>(по каналах і сегментах окремо)</t>
    </r>
  </si>
  <si>
    <r>
      <rPr>
        <b/>
        <sz val="12"/>
        <color rgb="FF000000"/>
        <rFont val="Aptos Narrow"/>
        <family val="2"/>
      </rPr>
      <t>Поля</t>
    </r>
    <r>
      <rPr>
        <sz val="12"/>
        <color rgb="FF000000"/>
        <rFont val="Aptos Narrow"/>
        <family val="2"/>
      </rPr>
      <t xml:space="preserve">: Канал, К-ть клієнтів, Сума, Ср. чек по клієнтах
</t>
    </r>
    <r>
      <rPr>
        <b/>
        <sz val="12"/>
        <color rgb="FF000000"/>
        <rFont val="Aptos Narrow"/>
        <family val="2"/>
      </rPr>
      <t>Фільтри (Зрізи)</t>
    </r>
    <r>
      <rPr>
        <sz val="12"/>
        <color rgb="FF000000"/>
        <rFont val="Aptos Narrow"/>
        <family val="2"/>
      </rPr>
      <t>: Період (Рік_місяць), Прайс</t>
    </r>
  </si>
  <si>
    <r>
      <rPr>
        <b/>
        <sz val="12"/>
        <color theme="1"/>
        <rFont val="Aptos Narrow"/>
        <family val="2"/>
        <scheme val="minor"/>
      </rPr>
      <t>Поля</t>
    </r>
    <r>
      <rPr>
        <sz val="12"/>
        <color theme="1"/>
        <rFont val="Aptos Narrow"/>
        <family val="2"/>
        <scheme val="minor"/>
      </rPr>
      <t xml:space="preserve">: Сегмент, К-ть клієнтів, Сума, Ср. чек по клієнтах
</t>
    </r>
    <r>
      <rPr>
        <b/>
        <sz val="12"/>
        <color theme="1"/>
        <rFont val="Aptos Narrow"/>
        <family val="2"/>
        <scheme val="minor"/>
      </rPr>
      <t>Фільтри (Зрізи)</t>
    </r>
    <r>
      <rPr>
        <sz val="12"/>
        <color theme="1"/>
        <rFont val="Aptos Narrow"/>
        <family val="2"/>
        <scheme val="minor"/>
      </rPr>
      <t>: Період (Рік_місяць), Прайс</t>
    </r>
  </si>
  <si>
    <t>Примітки:</t>
  </si>
  <si>
    <r>
      <rPr>
        <b/>
        <sz val="12"/>
        <color theme="1"/>
        <rFont val="Aptos Narrow"/>
        <family val="2"/>
        <scheme val="minor"/>
      </rPr>
      <t>Логін</t>
    </r>
    <r>
      <rPr>
        <sz val="12"/>
        <color theme="1"/>
        <rFont val="Aptos Narrow"/>
        <family val="2"/>
        <scheme val="minor"/>
      </rPr>
      <t xml:space="preserve"> - це унікальний ідентифікатор користувача
Ідентифікація Дня клієнта - по колонці </t>
    </r>
    <r>
      <rPr>
        <b/>
        <sz val="12"/>
        <color theme="1"/>
        <rFont val="Aptos Narrow"/>
        <family val="2"/>
        <scheme val="minor"/>
      </rPr>
      <t>Прайс</t>
    </r>
    <r>
      <rPr>
        <sz val="12"/>
        <color theme="1"/>
        <rFont val="Aptos Narrow"/>
        <family val="2"/>
        <scheme val="minor"/>
      </rPr>
      <t xml:space="preserve">
Ідентифікація періоду - по колонці </t>
    </r>
    <r>
      <rPr>
        <b/>
        <sz val="12"/>
        <color theme="1"/>
        <rFont val="Aptos Narrow"/>
        <family val="2"/>
        <scheme val="minor"/>
      </rPr>
      <t>Рік_місяць</t>
    </r>
  </si>
  <si>
    <t>ID</t>
  </si>
  <si>
    <t>Клієнт</t>
  </si>
  <si>
    <t>Логін</t>
  </si>
  <si>
    <t>Посада</t>
  </si>
  <si>
    <t>Клієнт 1</t>
  </si>
  <si>
    <t>111@mail.com</t>
  </si>
  <si>
    <t>HR (специалист)</t>
  </si>
  <si>
    <t>Юрист (юрисконсульт)</t>
  </si>
  <si>
    <t>Бухгалтер (специалист)</t>
  </si>
  <si>
    <t>Бухгалтер (главный бухгалтер)</t>
  </si>
  <si>
    <t>Юрист (партнер юр.компании)</t>
  </si>
  <si>
    <t>Клієнт 2</t>
  </si>
  <si>
    <t>112@mail.com</t>
  </si>
  <si>
    <t>Юрист (специалист юр.компании)</t>
  </si>
  <si>
    <t>Клієнт 3</t>
  </si>
  <si>
    <t>113@mail.com</t>
  </si>
  <si>
    <t>Судья</t>
  </si>
  <si>
    <t>CEO / Руководитель компании</t>
  </si>
  <si>
    <t>Клієнт 4</t>
  </si>
  <si>
    <t>114@mail.com</t>
  </si>
  <si>
    <t>Другое</t>
  </si>
  <si>
    <t>ИТ (специалист)</t>
  </si>
  <si>
    <t>Юрист (руководитель юр.департамента)</t>
  </si>
  <si>
    <t>Клієнт 5</t>
  </si>
  <si>
    <t>115@mail.com</t>
  </si>
  <si>
    <t>Аудитор</t>
  </si>
  <si>
    <t>Финансы (финансовый директор)</t>
  </si>
  <si>
    <t xml:space="preserve">Комплаенс специалист </t>
  </si>
  <si>
    <t>Клієнт 6</t>
  </si>
  <si>
    <t>116@mail.com</t>
  </si>
  <si>
    <t>Клієнт 7</t>
  </si>
  <si>
    <t>117@mail.com</t>
  </si>
  <si>
    <t>Клієнт 8</t>
  </si>
  <si>
    <t>118@mail.com</t>
  </si>
  <si>
    <t>Клієнт 9</t>
  </si>
  <si>
    <t>119@mail.com</t>
  </si>
  <si>
    <t>Клієнт 10</t>
  </si>
  <si>
    <t>120@mail.com</t>
  </si>
  <si>
    <t>Клієнт 11</t>
  </si>
  <si>
    <t>121@mail.com</t>
  </si>
  <si>
    <t>Клієнт 12</t>
  </si>
  <si>
    <t>122@mail.com</t>
  </si>
  <si>
    <t>Клієнт 13</t>
  </si>
  <si>
    <t>123@mail.com</t>
  </si>
  <si>
    <t>Клієнт 14</t>
  </si>
  <si>
    <t>124@mail.com</t>
  </si>
  <si>
    <t>Клієнт 15</t>
  </si>
  <si>
    <t>125@mail.com</t>
  </si>
  <si>
    <t>Клієнт 16</t>
  </si>
  <si>
    <t>126@mail.com</t>
  </si>
  <si>
    <t>Клієнт 17</t>
  </si>
  <si>
    <t>127@mail.com</t>
  </si>
  <si>
    <t>Клієнт 18</t>
  </si>
  <si>
    <t>128@mail.com</t>
  </si>
  <si>
    <t>Клієнт 19</t>
  </si>
  <si>
    <t>129@mail.com</t>
  </si>
  <si>
    <t>Клієнт 20</t>
  </si>
  <si>
    <t>130@mail.com</t>
  </si>
  <si>
    <t>Клієнт 21</t>
  </si>
  <si>
    <t>131@mail.com</t>
  </si>
  <si>
    <t>Клієнт 22</t>
  </si>
  <si>
    <t>132@mail.com</t>
  </si>
  <si>
    <t>Физическое лицо-предприниматель</t>
  </si>
  <si>
    <t>Клієнт 23</t>
  </si>
  <si>
    <t>133@mail.com</t>
  </si>
  <si>
    <t>Клієнт 24</t>
  </si>
  <si>
    <t>134@mail.com</t>
  </si>
  <si>
    <t>Клієнт 25</t>
  </si>
  <si>
    <t>135@mail.com</t>
  </si>
  <si>
    <t>Клієнт 26</t>
  </si>
  <si>
    <t>136@mail.com</t>
  </si>
  <si>
    <t>Клієнт 27</t>
  </si>
  <si>
    <t>137@mail.com</t>
  </si>
  <si>
    <t>Клієнт 28</t>
  </si>
  <si>
    <t>138@mail.com</t>
  </si>
  <si>
    <t>Клієнт 29</t>
  </si>
  <si>
    <t>139@mail.com</t>
  </si>
  <si>
    <t>Клієнт 30</t>
  </si>
  <si>
    <t>140@mail.com</t>
  </si>
  <si>
    <t>Клієнт 31</t>
  </si>
  <si>
    <t>141@mail.com</t>
  </si>
  <si>
    <t>Клієнт 32</t>
  </si>
  <si>
    <t>142@mail.com</t>
  </si>
  <si>
    <t>Клієнт 33</t>
  </si>
  <si>
    <t>143@mail.com</t>
  </si>
  <si>
    <t>Клієнт 34</t>
  </si>
  <si>
    <t>144@mail.com</t>
  </si>
  <si>
    <t>Клієнт 35</t>
  </si>
  <si>
    <t>145@mail.com</t>
  </si>
  <si>
    <t>Клієнт 36</t>
  </si>
  <si>
    <t>146@mail.com</t>
  </si>
  <si>
    <t>Клієнт 37</t>
  </si>
  <si>
    <t>147@mail.com</t>
  </si>
  <si>
    <t>Клієнт 38</t>
  </si>
  <si>
    <t>148@mail.com</t>
  </si>
  <si>
    <t>Клієнт 39</t>
  </si>
  <si>
    <t>149@mail.com</t>
  </si>
  <si>
    <t>Клієнт 40</t>
  </si>
  <si>
    <t>150@mail.com</t>
  </si>
  <si>
    <t>Клієнт 41</t>
  </si>
  <si>
    <t>151@mail.com</t>
  </si>
  <si>
    <t>Клієнт 42</t>
  </si>
  <si>
    <t>152@mail.com</t>
  </si>
  <si>
    <t>Клієнт 43</t>
  </si>
  <si>
    <t>153@mail.com</t>
  </si>
  <si>
    <t>Клієнт 44</t>
  </si>
  <si>
    <t>154@mail.com</t>
  </si>
  <si>
    <t>Клієнт 45</t>
  </si>
  <si>
    <t>155@mail.com</t>
  </si>
  <si>
    <t>Клієнт 46</t>
  </si>
  <si>
    <t>156@mail.com</t>
  </si>
  <si>
    <t>Клієнт 47</t>
  </si>
  <si>
    <t>157@mail.com</t>
  </si>
  <si>
    <t>Клієнт 48</t>
  </si>
  <si>
    <t>158@mail.com</t>
  </si>
  <si>
    <t>Клієнт 49</t>
  </si>
  <si>
    <t>159@mail.com</t>
  </si>
  <si>
    <t>Клієнт 50</t>
  </si>
  <si>
    <t>160@mail.com</t>
  </si>
  <si>
    <t>Клієнт 51</t>
  </si>
  <si>
    <t>161@mail.com</t>
  </si>
  <si>
    <t>Клієнт 52</t>
  </si>
  <si>
    <t>162@mail.com</t>
  </si>
  <si>
    <t>Клієнт 53</t>
  </si>
  <si>
    <t>163@mail.com</t>
  </si>
  <si>
    <t>Клієнт 54</t>
  </si>
  <si>
    <t>164@mail.com</t>
  </si>
  <si>
    <t>Клієнт 55</t>
  </si>
  <si>
    <t>165@mail.com</t>
  </si>
  <si>
    <t>Клієнт 56</t>
  </si>
  <si>
    <t>166@mail.com</t>
  </si>
  <si>
    <t>Клієнт 57</t>
  </si>
  <si>
    <t>167@mail.com</t>
  </si>
  <si>
    <t>Клієнт 58</t>
  </si>
  <si>
    <t>168@mail.com</t>
  </si>
  <si>
    <t>Клієнт 59</t>
  </si>
  <si>
    <t>169@mail.com</t>
  </si>
  <si>
    <t>Клієнт 60</t>
  </si>
  <si>
    <t>170@mail.com</t>
  </si>
  <si>
    <t>Канал продажу</t>
  </si>
  <si>
    <t>Прайс</t>
  </si>
  <si>
    <t>Номер рахунку</t>
  </si>
  <si>
    <t>Рік_місяць</t>
  </si>
  <si>
    <t>Сегмент</t>
  </si>
  <si>
    <t>Сума, євро</t>
  </si>
  <si>
    <t>Дилерська мережа</t>
  </si>
  <si>
    <t>LIGA360</t>
  </si>
  <si>
    <t>2025.05</t>
  </si>
  <si>
    <t>ГОС ВЛАСТЬ</t>
  </si>
  <si>
    <t>ClientDay</t>
  </si>
  <si>
    <t>2025.06</t>
  </si>
  <si>
    <t>Держ регіональні</t>
  </si>
  <si>
    <t>Корп клієнти</t>
  </si>
  <si>
    <t>КРУПНЫЙ БИЗНЕС</t>
  </si>
  <si>
    <t>Нові продажі</t>
  </si>
  <si>
    <t>СРЕДНИЙ БИЗНЕС</t>
  </si>
  <si>
    <t>ЮрАудит бізнес</t>
  </si>
  <si>
    <t>МАЛЫЙ БИЗНЕС</t>
  </si>
  <si>
    <t>МАЛЫЙ ЮР. БИЗНЕС</t>
  </si>
  <si>
    <t>МАЛЫЙ БУХ.-АУДИТ. БИЗНЕС</t>
  </si>
  <si>
    <t>СРЕДНИЙ ЮР. БИЗНЕС</t>
  </si>
  <si>
    <t>ФИЗ.ЛИЦО-ПРЕДПРИНИМАТЕЛЬ</t>
  </si>
  <si>
    <t>Держ центральні</t>
  </si>
  <si>
    <t>ГОСПРЕДПРИЯТИЕ</t>
  </si>
  <si>
    <t>ГОС БЮДЖЕТ</t>
  </si>
  <si>
    <t>Grand Total</t>
  </si>
  <si>
    <t>Комплаенс специалист</t>
  </si>
  <si>
    <t>К-ть користувачів</t>
  </si>
  <si>
    <t xml:space="preserve"> Сума, євро</t>
  </si>
  <si>
    <t>Середній чек</t>
  </si>
  <si>
    <t>Канал/Посада</t>
  </si>
  <si>
    <t>Сегмент/Посада</t>
  </si>
  <si>
    <t>Завдання 1.1</t>
  </si>
  <si>
    <t>Завдання 1.2</t>
  </si>
  <si>
    <t>* PowerQuery</t>
  </si>
  <si>
    <t>Завдання 2.1</t>
  </si>
  <si>
    <t>Канал</t>
  </si>
  <si>
    <t>К-ть клієнтів</t>
  </si>
  <si>
    <t>Середній чек, євро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</si>
</sst>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ptos Narrow"/>
      <family val="2"/>
      <charset val="204"/>
      <scheme val="minor"/>
    </font>
    <font>
      <sz val="8"/>
      <name val="Aptos Narrow"/>
      <family val="2"/>
      <charset val="204"/>
      <scheme val="minor"/>
    </font>
    <font>
      <sz val="11"/>
      <color theme="1"/>
      <name val="Aptos Narrow"/>
      <family val="2"/>
      <scheme val="minor"/>
    </font>
    <font>
      <b/>
      <sz val="12"/>
      <name val="Calibri"/>
      <family val="2"/>
      <charset val="204"/>
    </font>
    <font>
      <b/>
      <sz val="12"/>
      <color theme="0"/>
      <name val="Aptos Narrow"/>
      <family val="2"/>
    </font>
    <font>
      <sz val="12"/>
      <color theme="1"/>
      <name val="Aptos Narrow"/>
      <family val="2"/>
      <scheme val="minor"/>
    </font>
    <font>
      <b/>
      <sz val="12"/>
      <color theme="1"/>
      <name val="Aptos Narrow"/>
      <family val="2"/>
      <scheme val="minor"/>
    </font>
    <font>
      <b/>
      <sz val="16"/>
      <name val="Calibri"/>
      <family val="2"/>
      <charset val="204"/>
    </font>
    <font>
      <sz val="12"/>
      <name val="Calibri"/>
      <family val="2"/>
      <charset val="204"/>
    </font>
    <font>
      <b/>
      <sz val="12"/>
      <color rgb="FF000000"/>
      <name val="Aptos Narrow"/>
      <family val="2"/>
    </font>
    <font>
      <sz val="12"/>
      <color rgb="FF000000"/>
      <name val="Aptos Narrow"/>
      <family val="2"/>
    </font>
    <font>
      <b/>
      <sz val="14"/>
      <color theme="4"/>
      <name val="Aptos Narrow"/>
      <family val="2"/>
      <scheme val="minor"/>
    </font>
    <font>
      <b/>
      <sz val="14"/>
      <color theme="6"/>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5" tint="-0.249977111117893"/>
        <bgColor theme="4"/>
      </patternFill>
    </fill>
    <fill>
      <patternFill patternType="solid">
        <fgColor theme="6" tint="0.5999938962981048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4" tint="0.39997558519241921"/>
      </left>
      <right/>
      <top/>
      <bottom/>
      <diagonal/>
    </border>
  </borders>
  <cellStyleXfs count="2">
    <xf numFmtId="0" fontId="0" fillId="0" borderId="0"/>
    <xf numFmtId="0" fontId="2" fillId="0" borderId="0"/>
  </cellStyleXfs>
  <cellXfs count="29">
    <xf numFmtId="0" fontId="0" fillId="0" borderId="0" xfId="0"/>
    <xf numFmtId="0" fontId="2" fillId="0" borderId="0" xfId="1"/>
    <xf numFmtId="0" fontId="5" fillId="0" borderId="0" xfId="0" applyFont="1"/>
    <xf numFmtId="49" fontId="5" fillId="0" borderId="0" xfId="0" applyNumberFormat="1" applyFont="1"/>
    <xf numFmtId="1" fontId="5" fillId="0" borderId="0" xfId="0" applyNumberFormat="1" applyFont="1"/>
    <xf numFmtId="0" fontId="5" fillId="0" borderId="0" xfId="1" applyFont="1" applyAlignment="1">
      <alignment vertical="top" wrapText="1"/>
    </xf>
    <xf numFmtId="0" fontId="3" fillId="0" borderId="0" xfId="1" applyFont="1" applyAlignment="1">
      <alignment horizontal="left" vertical="center" wrapText="1"/>
    </xf>
    <xf numFmtId="0" fontId="5" fillId="0" borderId="0" xfId="1" applyFont="1"/>
    <xf numFmtId="0" fontId="5" fillId="0" borderId="0" xfId="1" applyFont="1" applyAlignment="1">
      <alignment horizontal="left" vertical="top" wrapText="1"/>
    </xf>
    <xf numFmtId="0" fontId="3" fillId="0" borderId="0" xfId="1" applyFont="1" applyAlignment="1">
      <alignment horizontal="left" vertical="top" wrapText="1"/>
    </xf>
    <xf numFmtId="0" fontId="3" fillId="5" borderId="0" xfId="1" applyFont="1" applyFill="1" applyAlignment="1">
      <alignment horizontal="left" vertical="center" wrapText="1"/>
    </xf>
    <xf numFmtId="0" fontId="3" fillId="6" borderId="0" xfId="1" applyFont="1" applyFill="1" applyAlignment="1">
      <alignment horizontal="left" vertical="center" wrapText="1"/>
    </xf>
    <xf numFmtId="0" fontId="10" fillId="0" borderId="0" xfId="1" applyFont="1" applyAlignment="1">
      <alignment vertical="top" wrapText="1"/>
    </xf>
    <xf numFmtId="1" fontId="4" fillId="2" borderId="1"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4" fillId="3" borderId="3" xfId="0" applyFont="1" applyFill="1" applyBorder="1"/>
    <xf numFmtId="49" fontId="4" fillId="3" borderId="1" xfId="0" applyNumberFormat="1" applyFont="1" applyFill="1" applyBorder="1"/>
    <xf numFmtId="0" fontId="4" fillId="3"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1" applyFont="1" applyAlignment="1">
      <alignment horizontal="left" vertical="center" wrapText="1"/>
    </xf>
    <xf numFmtId="0" fontId="7" fillId="4" borderId="0" xfId="1" applyFont="1" applyFill="1" applyAlignment="1">
      <alignment horizontal="center" vertical="top" wrapText="1"/>
    </xf>
    <xf numFmtId="0" fontId="0" fillId="0" borderId="0" xfId="0" applyNumberFormat="1"/>
    <xf numFmtId="164" fontId="0" fillId="0" borderId="0" xfId="0" applyNumberFormat="1"/>
    <xf numFmtId="0" fontId="0" fillId="0" borderId="0" xfId="0" applyAlignment="1">
      <alignment horizontal="center"/>
    </xf>
    <xf numFmtId="0" fontId="0" fillId="0" borderId="0" xfId="0" applyNumberFormat="1" applyAlignment="1">
      <alignment horizontal="center"/>
    </xf>
    <xf numFmtId="0" fontId="11" fillId="7" borderId="0" xfId="0" applyFont="1" applyFill="1" applyAlignment="1">
      <alignment horizontal="center"/>
    </xf>
    <xf numFmtId="0" fontId="12" fillId="5" borderId="0" xfId="0" applyFont="1" applyFill="1" applyAlignment="1">
      <alignment horizontal="center"/>
    </xf>
  </cellXfs>
  <cellStyles count="2">
    <cellStyle name="Normal" xfId="0" builtinId="0"/>
    <cellStyle name="Обычный 2" xfId="1" xr:uid="{911E992E-25EE-4615-B0B6-31A753F1C59F}"/>
  </cellStyles>
  <dxfs count="72">
    <dxf>
      <numFmt numFmtId="164" formatCode="#,##0.0"/>
    </dxf>
    <dxf>
      <numFmt numFmtId="164" formatCode="#,##0.0"/>
    </dxf>
    <dxf>
      <numFmt numFmtId="164" formatCode="#,##0.0"/>
    </dxf>
    <dxf>
      <numFmt numFmtId="164" formatCode="#,##0.0"/>
    </dxf>
    <dxf>
      <font>
        <color rgb="FF9C0006"/>
      </font>
      <fill>
        <patternFill>
          <bgColor rgb="FFFFC7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alignment horizontal="center"/>
    </dxf>
    <dxf>
      <numFmt numFmtId="164" formatCode="#,##0.0"/>
    </dxf>
    <dxf>
      <alignment horizontal="center"/>
    </dxf>
    <dxf>
      <numFmt numFmtId="164" formatCode="#,##0.0"/>
    </dxf>
    <dxf>
      <alignment horizontal="center"/>
    </dxf>
    <dxf>
      <numFmt numFmtId="164" formatCode="#,##0.0"/>
    </dxf>
    <dxf>
      <alignment horizontal="center"/>
    </dxf>
    <dxf>
      <numFmt numFmtId="164" formatCode="#,##0.0"/>
    </dxf>
    <dxf>
      <numFmt numFmtId="164" formatCode="#,##0.0"/>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0"/>
        <name val="Aptos Narrow"/>
        <family val="2"/>
        <scheme val="none"/>
      </font>
      <fill>
        <patternFill patternType="solid">
          <fgColor theme="4"/>
          <bgColor theme="5" tint="-0.249977111117893"/>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2"/>
        <color theme="0"/>
        <name val="Aptos Narrow"/>
        <family val="2"/>
        <scheme val="none"/>
      </font>
      <fill>
        <patternFill patternType="solid">
          <fgColor theme="4"/>
          <bgColor theme="4"/>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5</xdr:row>
      <xdr:rowOff>66675</xdr:rowOff>
    </xdr:from>
    <xdr:to>
      <xdr:col>6</xdr:col>
      <xdr:colOff>561975</xdr:colOff>
      <xdr:row>10</xdr:row>
      <xdr:rowOff>104775</xdr:rowOff>
    </xdr:to>
    <mc:AlternateContent xmlns:mc="http://schemas.openxmlformats.org/markup-compatibility/2006">
      <mc:Choice xmlns:a14="http://schemas.microsoft.com/office/drawing/2010/main" Requires="a14">
        <xdr:graphicFrame macro="">
          <xdr:nvGraphicFramePr>
            <xdr:cNvPr id="2" name="Рік_місяць">
              <a:extLst>
                <a:ext uri="{FF2B5EF4-FFF2-40B4-BE49-F238E27FC236}">
                  <a16:creationId xmlns:a16="http://schemas.microsoft.com/office/drawing/2014/main" id="{C8B64D4A-B9C1-35F8-181F-7F5D2C0991F5}"/>
                </a:ext>
              </a:extLst>
            </xdr:cNvPr>
            <xdr:cNvGraphicFramePr/>
          </xdr:nvGraphicFramePr>
          <xdr:xfrm>
            <a:off x="0" y="0"/>
            <a:ext cx="0" cy="0"/>
          </xdr:xfrm>
          <a:graphic>
            <a:graphicData uri="http://schemas.microsoft.com/office/drawing/2010/slicer">
              <sle:slicer xmlns:sle="http://schemas.microsoft.com/office/drawing/2010/slicer" name="Рік_місяць"/>
            </a:graphicData>
          </a:graphic>
        </xdr:graphicFrame>
      </mc:Choice>
      <mc:Fallback>
        <xdr:sp macro="" textlink="">
          <xdr:nvSpPr>
            <xdr:cNvPr id="0" name=""/>
            <xdr:cNvSpPr>
              <a:spLocks noTextEdit="1"/>
            </xdr:cNvSpPr>
          </xdr:nvSpPr>
          <xdr:spPr>
            <a:xfrm>
              <a:off x="5724525" y="1066800"/>
              <a:ext cx="1828800" cy="99060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10</xdr:row>
      <xdr:rowOff>114300</xdr:rowOff>
    </xdr:from>
    <xdr:to>
      <xdr:col>6</xdr:col>
      <xdr:colOff>552450</xdr:colOff>
      <xdr:row>15</xdr:row>
      <xdr:rowOff>104775</xdr:rowOff>
    </xdr:to>
    <mc:AlternateContent xmlns:mc="http://schemas.openxmlformats.org/markup-compatibility/2006">
      <mc:Choice xmlns:a14="http://schemas.microsoft.com/office/drawing/2010/main" Requires="a14">
        <xdr:graphicFrame macro="">
          <xdr:nvGraphicFramePr>
            <xdr:cNvPr id="3" name="Прайс">
              <a:extLst>
                <a:ext uri="{FF2B5EF4-FFF2-40B4-BE49-F238E27FC236}">
                  <a16:creationId xmlns:a16="http://schemas.microsoft.com/office/drawing/2014/main" id="{B1D8D56A-DDDC-9495-6AB8-3C0C5B4ED7D9}"/>
                </a:ext>
              </a:extLst>
            </xdr:cNvPr>
            <xdr:cNvGraphicFramePr/>
          </xdr:nvGraphicFramePr>
          <xdr:xfrm>
            <a:off x="0" y="0"/>
            <a:ext cx="0" cy="0"/>
          </xdr:xfrm>
          <a:graphic>
            <a:graphicData uri="http://schemas.microsoft.com/office/drawing/2010/slicer">
              <sle:slicer xmlns:sle="http://schemas.microsoft.com/office/drawing/2010/slicer" name="Прайс"/>
            </a:graphicData>
          </a:graphic>
        </xdr:graphicFrame>
      </mc:Choice>
      <mc:Fallback>
        <xdr:sp macro="" textlink="">
          <xdr:nvSpPr>
            <xdr:cNvPr id="0" name=""/>
            <xdr:cNvSpPr>
              <a:spLocks noTextEdit="1"/>
            </xdr:cNvSpPr>
          </xdr:nvSpPr>
          <xdr:spPr>
            <a:xfrm>
              <a:off x="5715000" y="2066925"/>
              <a:ext cx="1828800" cy="94297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352424</xdr:colOff>
      <xdr:row>10</xdr:row>
      <xdr:rowOff>19049</xdr:rowOff>
    </xdr:from>
    <xdr:to>
      <xdr:col>13</xdr:col>
      <xdr:colOff>314324</xdr:colOff>
      <xdr:row>15</xdr:row>
      <xdr:rowOff>142874</xdr:rowOff>
    </xdr:to>
    <mc:AlternateContent xmlns:mc="http://schemas.openxmlformats.org/markup-compatibility/2006">
      <mc:Choice xmlns:a14="http://schemas.microsoft.com/office/drawing/2010/main" Requires="a14">
        <xdr:graphicFrame macro="">
          <xdr:nvGraphicFramePr>
            <xdr:cNvPr id="4" name="Прайс 1">
              <a:extLst>
                <a:ext uri="{FF2B5EF4-FFF2-40B4-BE49-F238E27FC236}">
                  <a16:creationId xmlns:a16="http://schemas.microsoft.com/office/drawing/2014/main" id="{397716A8-60E1-6620-8FD0-D7BACF1D0BFF}"/>
                </a:ext>
              </a:extLst>
            </xdr:cNvPr>
            <xdr:cNvGraphicFramePr/>
          </xdr:nvGraphicFramePr>
          <xdr:xfrm>
            <a:off x="0" y="0"/>
            <a:ext cx="0" cy="0"/>
          </xdr:xfrm>
          <a:graphic>
            <a:graphicData uri="http://schemas.microsoft.com/office/drawing/2010/slicer">
              <sle:slicer xmlns:sle="http://schemas.microsoft.com/office/drawing/2010/slicer" name="Прайс 1"/>
            </a:graphicData>
          </a:graphic>
        </xdr:graphicFrame>
      </mc:Choice>
      <mc:Fallback>
        <xdr:sp macro="" textlink="">
          <xdr:nvSpPr>
            <xdr:cNvPr id="0" name=""/>
            <xdr:cNvSpPr>
              <a:spLocks noTextEdit="1"/>
            </xdr:cNvSpPr>
          </xdr:nvSpPr>
          <xdr:spPr>
            <a:xfrm>
              <a:off x="14268449" y="1971674"/>
              <a:ext cx="2047875" cy="10763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361950</xdr:colOff>
      <xdr:row>10</xdr:row>
      <xdr:rowOff>9525</xdr:rowOff>
    </xdr:from>
    <xdr:to>
      <xdr:col>15</xdr:col>
      <xdr:colOff>800100</xdr:colOff>
      <xdr:row>15</xdr:row>
      <xdr:rowOff>123824</xdr:rowOff>
    </xdr:to>
    <mc:AlternateContent xmlns:mc="http://schemas.openxmlformats.org/markup-compatibility/2006">
      <mc:Choice xmlns:a14="http://schemas.microsoft.com/office/drawing/2010/main" Requires="a14">
        <xdr:graphicFrame macro="">
          <xdr:nvGraphicFramePr>
            <xdr:cNvPr id="5" name="Рік_місяць 1">
              <a:extLst>
                <a:ext uri="{FF2B5EF4-FFF2-40B4-BE49-F238E27FC236}">
                  <a16:creationId xmlns:a16="http://schemas.microsoft.com/office/drawing/2014/main" id="{CDCA805D-6A20-6A28-4996-A46BBB77E8CA}"/>
                </a:ext>
              </a:extLst>
            </xdr:cNvPr>
            <xdr:cNvGraphicFramePr/>
          </xdr:nvGraphicFramePr>
          <xdr:xfrm>
            <a:off x="0" y="0"/>
            <a:ext cx="0" cy="0"/>
          </xdr:xfrm>
          <a:graphic>
            <a:graphicData uri="http://schemas.microsoft.com/office/drawing/2010/slicer">
              <sle:slicer xmlns:sle="http://schemas.microsoft.com/office/drawing/2010/slicer" name="Рік_місяць 1"/>
            </a:graphicData>
          </a:graphic>
        </xdr:graphicFrame>
      </mc:Choice>
      <mc:Fallback>
        <xdr:sp macro="" textlink="">
          <xdr:nvSpPr>
            <xdr:cNvPr id="0" name=""/>
            <xdr:cNvSpPr>
              <a:spLocks noTextEdit="1"/>
            </xdr:cNvSpPr>
          </xdr:nvSpPr>
          <xdr:spPr>
            <a:xfrm>
              <a:off x="16363950" y="1962150"/>
              <a:ext cx="2000250" cy="1066799"/>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52356712964" backgroundQuery="1" createdVersion="8" refreshedVersion="8" minRefreshableVersion="3" recordCount="0" supportSubquery="1" supportAdvancedDrill="1" xr:uid="{720DFEA8-15E6-4808-9A61-B5481E89BB5D}">
  <cacheSource type="external" connectionId="4"/>
  <cacheFields count="6">
    <cacheField name="[Measures].[Count of Логін 2]" caption="Count of Логін 2" numFmtId="0" hierarchy="30" level="32767"/>
    <cacheField name="[users].[Посада].[Посада]" caption="Посада" numFmtId="0" hierarchy="11" level="1">
      <sharedItems count="15">
        <s v="Другое"/>
        <s v="Юрист (специалист юр.компании)"/>
        <s v="CEO / Руководитель компании"/>
        <s v="HR (специалист)"/>
        <s v="Бухгалтер (главный бухгалтер)"/>
        <s v="Бухгалтер (специалист)"/>
        <s v="Судья"/>
        <s v="Юрист (партнер юр.компании)"/>
        <s v="Юрист (юрисконсульт)"/>
        <s v="Юрист (руководитель юр.департамента)"/>
        <s v="ИТ (специалист)"/>
        <s v="Комплаенс специалист"/>
        <s v="Финансы (финансовый директор)"/>
        <s v="Аудитор"/>
        <s v="Физическое лицо-предприниматель"/>
      </sharedItems>
    </cacheField>
    <cacheField name="[invoice].[Канал продажу].[Канал продажу]" caption="Канал продажу" numFmtId="0" level="1">
      <sharedItems count="6">
        <s v="Держ регіональні"/>
        <s v="Держ центральні"/>
        <s v="Дилерська мережа"/>
        <s v="Корп клієнти"/>
        <s v="Нові продажі"/>
        <s v="ЮрАудит бізнес"/>
      </sharedItems>
    </cacheField>
    <cacheField name="[Measures].[Sum of Сума, євро 2]" caption="Sum of Сума, євро 2" numFmtId="0" hierarchy="31" level="32767"/>
    <cacheField name="[Measures].[Average of Сума, євро 2]" caption="Average of Сума, євро 2" numFmtId="0" hierarchy="32" level="32767"/>
    <cacheField name="[users].[Сегмент].[Сегмент]" caption="Сегмент" numFmtId="0" hierarchy="14" level="1">
      <sharedItems count="10">
        <s v="ГОС БЮДЖЕТ"/>
        <s v="ГОС ВЛАСТЬ"/>
        <s v="ГОСПРЕДПРИЯТИЕ"/>
        <s v="КРУПНЫЙ БИЗНЕС"/>
        <s v="МАЛЫЙ БИЗНЕС"/>
        <s v="МАЛЫЙ БУХ.-АУДИТ. БИЗНЕС"/>
        <s v="МАЛЫЙ ЮР. БИЗНЕС"/>
        <s v="СРЕДНИЙ БИЗНЕС"/>
        <s v="СРЕДНИЙ ЮР. БИЗНЕС"/>
        <s v="ФИЗ.ЛИЦО-ПРЕДПРИНИМАТЕЛЬ"/>
      </sharedItems>
    </cacheField>
  </cacheFields>
  <cacheHierarchies count="36">
    <cacheHierarchy uniqueName="[invoice].[Канал продажу]" caption="Канал продажу" attribute="1" defaultMemberUniqueName="[invoice].[Канал продажу].[All]" allUniqueName="[invoice].[Канал продажу].[All]" dimensionUniqueName="[invoice]" displayFolder="" count="2" memberValueDatatype="130" unbalanced="0">
      <fieldsUsage count="2">
        <fieldUsage x="-1"/>
        <fieldUsage x="2"/>
      </fieldsUsage>
    </cacheHierarchy>
    <cacheHierarchy uniqueName="[invoice].[ID]" caption="ID" attribute="1" defaultMemberUniqueName="[invoice].[ID].[All]" allUniqueName="[invoice].[ID].[All]" dimensionUniqueName="[invoice]" displayFolder="" count="0" memberValueDatatype="20" unbalanced="0"/>
    <cacheHierarchy uniqueName="[invoice].[Клієнт]" caption="Клієнт" attribute="1" defaultMemberUniqueName="[invoice].[Клієнт].[All]" allUniqueName="[invoice].[Клієнт].[All]" dimensionUniqueName="[invoice]" displayFolder="" count="0" memberValueDatatype="130" unbalanced="0"/>
    <cacheHierarchy uniqueName="[invoice].[Прайс]" caption="Прайс" attribute="1" defaultMemberUniqueName="[invoice].[Прайс].[All]" allUniqueName="[invoice].[Прайс].[All]" dimensionUniqueName="[invoice]" displayFolder="" count="0"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0" memberValueDatatype="20" unbalanced="0"/>
    <cacheHierarchy uniqueName="[invoice].[Рік_місяць]" caption="Рік_місяць" attribute="1" time="1" defaultMemberUniqueName="[invoice].[Рік_місяць].[All]" allUniqueName="[invoice].[Рік_місяць].[All]" dimensionUniqueName="[invoice]" displayFolder="" count="0" memberValueDatatype="7" unbalanced="0"/>
    <cacheHierarchy uniqueName="[invoice].[Сегмент]" caption="Сегмент" attribute="1" defaultMemberUniqueName="[invoice].[Сегмент].[All]" allUniqueName="[invoice].[Сегмент].[All]" dimensionUniqueName="[invoice]" displayFolder="" count="0" memberValueDatatype="130" unbalanced="0"/>
    <cacheHierarchy uniqueName="[invoice].[Сума, євро]" caption="Сума, євро" attribute="1" defaultMemberUniqueName="[invoice].[Сума, євро].[All]" allUniqueName="[invoice].[Сума, євро].[All]" dimensionUniqueName="[invoice]" displayFolder="" count="0" memberValueDatatype="5" unbalanced="0"/>
    <cacheHierarchy uniqueName="[users].[ID]" caption="ID" attribute="1" defaultMemberUniqueName="[users].[ID].[All]" allUniqueName="[users].[ID].[All]" dimensionUniqueName="[users]" displayFolder="" count="0" memberValueDatatype="20" unbalanced="0"/>
    <cacheHierarchy uniqueName="[users].[Клієнт]" caption="Клієнт" attribute="1" defaultMemberUniqueName="[users].[Клієнт].[All]" allUniqueName="[users].[Клієнт].[All]" dimensionUniqueName="[users]" displayFolder="" count="0" memberValueDatatype="130" unbalanced="0"/>
    <cacheHierarchy uniqueName="[users].[Логін]" caption="Логін" attribute="1" defaultMemberUniqueName="[users].[Логін].[All]" allUniqueName="[users].[Логін].[All]" dimensionUniqueName="[users]" displayFolder="" count="0" memberValueDatatype="130" unbalanced="0"/>
    <cacheHierarchy uniqueName="[users].[Посада]" caption="Посада" attribute="1" defaultMemberUniqueName="[users].[Посада].[All]" allUniqueName="[users].[Посада].[All]" dimensionUniqueName="[users]" displayFolder="" count="2" memberValueDatatype="130" unbalanced="0">
      <fieldsUsage count="2">
        <fieldUsage x="-1"/>
        <fieldUsage x="1"/>
      </fieldsUsage>
    </cacheHierarchy>
    <cacheHierarchy uniqueName="[users].[Прайс]" caption="Прайс" attribute="1" defaultMemberUniqueName="[users].[Прайс].[All]" allUniqueName="[users].[Прайс].[All]" dimensionUniqueName="[users]" displayFolder="" count="0" memberValueDatatype="130" unbalanced="0"/>
    <cacheHierarchy uniqueName="[users].[Рік_місяць]" caption="Рік_місяць" attribute="1" time="1" defaultMemberUniqueName="[users].[Рік_місяць].[All]" allUniqueName="[users].[Рік_місяць].[All]" dimensionUniqueName="[users]" displayFolder="" count="0" memberValueDatatype="7" unbalanced="0"/>
    <cacheHierarchy uniqueName="[users].[Сегмент]" caption="Сегмент" attribute="1" defaultMemberUniqueName="[users].[Сегмент].[All]" allUniqueName="[users].[Сегмент].[All]" dimensionUniqueName="[users]" displayFolder="" count="2" memberValueDatatype="130" unbalanced="0">
      <fieldsUsage count="2">
        <fieldUsage x="-1"/>
        <fieldUsage x="5"/>
      </fieldsUsage>
    </cacheHierarchy>
    <cacheHierarchy uniqueName="[users].[Сума, євро]" caption="Сума, євро" attribute="1" defaultMemberUniqueName="[users].[Сума, євро].[All]" allUniqueName="[users].[Сума, євро].[All]" dimensionUniqueName="[users]" displayFolder="" count="0" memberValueDatatype="5" unbalanced="0"/>
    <cacheHierarchy uniqueName="[users_id].[ID]" caption="ID" attribute="1" defaultMemberUniqueName="[users_id].[ID].[All]" allUniqueName="[users_id].[ID].[All]" dimensionUniqueName="[users_id]" displayFolder="" count="0" memberValueDatatype="20" unbalanced="0"/>
    <cacheHierarchy uniqueName="[users_id].[Клієнт]" caption="Клієнт" attribute="1" defaultMemberUniqueName="[users_id].[Клієнт].[All]" allUniqueName="[users_id].[Клієнт].[All]" dimensionUniqueName="[users_id]" displayFolder="" count="0" memberValueDatatype="130" unbalanced="0"/>
    <cacheHierarchy uniqueName="[users_id].[Логін]" caption="Логін" attribute="1" defaultMemberUniqueName="[users_id].[Логін].[All]" allUniqueName="[users_id].[Логін].[All]" dimensionUniqueName="[users_id]" displayFolder="" count="0"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0"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Клієнт 2]" caption="Count of Клієнт 2" measure="1" displayFolder="" measureGroup="invoice" count="0" hidden="1">
      <extLst>
        <ext xmlns:x15="http://schemas.microsoft.com/office/spreadsheetml/2010/11/main" uri="{B97F6D7D-B522-45F9-BDA1-12C45D357490}">
          <x15:cacheHierarchy aggregatedColumn="2"/>
        </ext>
      </extLst>
    </cacheHierarchy>
    <cacheHierarchy uniqueName="[Measures].[Sum of ID]" caption="Sum of ID" measure="1" displayFolder="" measureGroup="invoice"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invoice" count="0" hidden="1">
      <extLst>
        <ext xmlns:x15="http://schemas.microsoft.com/office/spreadsheetml/2010/11/main" uri="{B97F6D7D-B522-45F9-BDA1-12C45D357490}">
          <x15:cacheHierarchy aggregatedColumn="1"/>
        </ext>
      </extLst>
    </cacheHierarchy>
  </cacheHierarchies>
  <kpis count="0"/>
  <dimensions count="4">
    <dimension name="invoice" uniqueName="[invoice]" caption="invoice"/>
    <dimension measure="1" name="Measures" uniqueName="[Measures]" caption="Measures"/>
    <dimension name="users" uniqueName="[users]" caption="users"/>
    <dimension name="users_id" uniqueName="[users_id]" caption="users_id"/>
  </dimensions>
  <measureGroups count="3">
    <measureGroup name="invoice" caption="invoice"/>
    <measureGroup name="users" caption="users"/>
    <measureGroup name="users_id" caption="users_id"/>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52224074076" backgroundQuery="1" createdVersion="8" refreshedVersion="8" minRefreshableVersion="3" recordCount="0" supportSubquery="1" supportAdvancedDrill="1" xr:uid="{0F505082-3E66-4278-A4A6-5359CD806578}">
  <cacheSource type="external" connectionId="4"/>
  <cacheFields count="5">
    <cacheField name="[Measures].[Count of Логін 2]" caption="Count of Логін 2" numFmtId="0" hierarchy="30" level="32767"/>
    <cacheField name="[users].[Посада].[Посада]" caption="Посада" numFmtId="0" hierarchy="11" level="1">
      <sharedItems count="15">
        <s v="CEO / Руководитель компании"/>
        <s v="HR (специалист)"/>
        <s v="Бухгалтер (главный бухгалтер)"/>
        <s v="Бухгалтер (специалист)"/>
        <s v="Другое"/>
        <s v="Судья"/>
        <s v="Юрист (партнер юр.компании)"/>
        <s v="Юрист (руководитель юр.департамента)"/>
        <s v="Юрист (специалист юр.компании)"/>
        <s v="Юрист (юрисконсульт)"/>
        <s v="Физическое лицо-предприниматель"/>
        <s v="Финансы (финансовый директор)"/>
        <s v="ИТ (специалист)"/>
        <s v="Аудитор"/>
        <s v="Комплаенс специалист"/>
      </sharedItems>
    </cacheField>
    <cacheField name="[invoice].[Канал продажу].[Канал продажу]" caption="Канал продажу" numFmtId="0" level="1">
      <sharedItems count="6">
        <s v="Держ регіональні"/>
        <s v="Держ центральні"/>
        <s v="Дилерська мережа"/>
        <s v="Корп клієнти"/>
        <s v="Нові продажі"/>
        <s v="ЮрАудит бізнес"/>
      </sharedItems>
    </cacheField>
    <cacheField name="[Measures].[Sum of Сума, євро 2]" caption="Sum of Сума, євро 2" numFmtId="0" hierarchy="31" level="32767"/>
    <cacheField name="[Measures].[Average of Сума, євро 2]" caption="Average of Сума, євро 2" numFmtId="0" hierarchy="32" level="32767"/>
  </cacheFields>
  <cacheHierarchies count="36">
    <cacheHierarchy uniqueName="[invoice].[Канал продажу]" caption="Канал продажу" attribute="1" defaultMemberUniqueName="[invoice].[Канал продажу].[All]" allUniqueName="[invoice].[Канал продажу].[All]" dimensionUniqueName="[invoice]" displayFolder="" count="2" memberValueDatatype="130" unbalanced="0">
      <fieldsUsage count="2">
        <fieldUsage x="-1"/>
        <fieldUsage x="2"/>
      </fieldsUsage>
    </cacheHierarchy>
    <cacheHierarchy uniqueName="[invoice].[ID]" caption="ID" attribute="1" defaultMemberUniqueName="[invoice].[ID].[All]" allUniqueName="[invoice].[ID].[All]" dimensionUniqueName="[invoice]" displayFolder="" count="0" memberValueDatatype="20" unbalanced="0"/>
    <cacheHierarchy uniqueName="[invoice].[Клієнт]" caption="Клієнт" attribute="1" defaultMemberUniqueName="[invoice].[Клієнт].[All]" allUniqueName="[invoice].[Клієнт].[All]" dimensionUniqueName="[invoice]" displayFolder="" count="0" memberValueDatatype="130" unbalanced="0"/>
    <cacheHierarchy uniqueName="[invoice].[Прайс]" caption="Прайс" attribute="1" defaultMemberUniqueName="[invoice].[Прайс].[All]" allUniqueName="[invoice].[Прайс].[All]" dimensionUniqueName="[invoice]" displayFolder="" count="0"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0" memberValueDatatype="20" unbalanced="0"/>
    <cacheHierarchy uniqueName="[invoice].[Рік_місяць]" caption="Рік_місяць" attribute="1" time="1" defaultMemberUniqueName="[invoice].[Рік_місяць].[All]" allUniqueName="[invoice].[Рік_місяць].[All]" dimensionUniqueName="[invoice]" displayFolder="" count="0" memberValueDatatype="7" unbalanced="0"/>
    <cacheHierarchy uniqueName="[invoice].[Сегмент]" caption="Сегмент" attribute="1" defaultMemberUniqueName="[invoice].[Сегмент].[All]" allUniqueName="[invoice].[Сегмент].[All]" dimensionUniqueName="[invoice]" displayFolder="" count="0" memberValueDatatype="130" unbalanced="0"/>
    <cacheHierarchy uniqueName="[invoice].[Сума, євро]" caption="Сума, євро" attribute="1" defaultMemberUniqueName="[invoice].[Сума, євро].[All]" allUniqueName="[invoice].[Сума, євро].[All]" dimensionUniqueName="[invoice]" displayFolder="" count="0" memberValueDatatype="5" unbalanced="0"/>
    <cacheHierarchy uniqueName="[users].[ID]" caption="ID" attribute="1" defaultMemberUniqueName="[users].[ID].[All]" allUniqueName="[users].[ID].[All]" dimensionUniqueName="[users]" displayFolder="" count="0" memberValueDatatype="20" unbalanced="0"/>
    <cacheHierarchy uniqueName="[users].[Клієнт]" caption="Клієнт" attribute="1" defaultMemberUniqueName="[users].[Клієнт].[All]" allUniqueName="[users].[Клієнт].[All]" dimensionUniqueName="[users]" displayFolder="" count="0" memberValueDatatype="130" unbalanced="0"/>
    <cacheHierarchy uniqueName="[users].[Логін]" caption="Логін" attribute="1" defaultMemberUniqueName="[users].[Логін].[All]" allUniqueName="[users].[Логін].[All]" dimensionUniqueName="[users]" displayFolder="" count="0" memberValueDatatype="130" unbalanced="0"/>
    <cacheHierarchy uniqueName="[users].[Посада]" caption="Посада" attribute="1" defaultMemberUniqueName="[users].[Посада].[All]" allUniqueName="[users].[Посада].[All]" dimensionUniqueName="[users]" displayFolder="" count="2" memberValueDatatype="130" unbalanced="0">
      <fieldsUsage count="2">
        <fieldUsage x="-1"/>
        <fieldUsage x="1"/>
      </fieldsUsage>
    </cacheHierarchy>
    <cacheHierarchy uniqueName="[users].[Прайс]" caption="Прайс" attribute="1" defaultMemberUniqueName="[users].[Прайс].[All]" allUniqueName="[users].[Прайс].[All]" dimensionUniqueName="[users]" displayFolder="" count="0" memberValueDatatype="130" unbalanced="0"/>
    <cacheHierarchy uniqueName="[users].[Рік_місяць]" caption="Рік_місяць" attribute="1" time="1" defaultMemberUniqueName="[users].[Рік_місяць].[All]" allUniqueName="[users].[Рік_місяць].[All]" dimensionUniqueName="[users]" displayFolder="" count="0" memberValueDatatype="7" unbalanced="0"/>
    <cacheHierarchy uniqueName="[users].[Сегмент]" caption="Сегмент" attribute="1" defaultMemberUniqueName="[users].[Сегмент].[All]" allUniqueName="[users].[Сегмент].[All]" dimensionUniqueName="[users]" displayFolder="" count="0" memberValueDatatype="130" unbalanced="0"/>
    <cacheHierarchy uniqueName="[users].[Сума, євро]" caption="Сума, євро" attribute="1" defaultMemberUniqueName="[users].[Сума, євро].[All]" allUniqueName="[users].[Сума, євро].[All]" dimensionUniqueName="[users]" displayFolder="" count="0" memberValueDatatype="5" unbalanced="0"/>
    <cacheHierarchy uniqueName="[users_id].[ID]" caption="ID" attribute="1" defaultMemberUniqueName="[users_id].[ID].[All]" allUniqueName="[users_id].[ID].[All]" dimensionUniqueName="[users_id]" displayFolder="" count="0" memberValueDatatype="20" unbalanced="0"/>
    <cacheHierarchy uniqueName="[users_id].[Клієнт]" caption="Клієнт" attribute="1" defaultMemberUniqueName="[users_id].[Клієнт].[All]" allUniqueName="[users_id].[Клієнт].[All]" dimensionUniqueName="[users_id]" displayFolder="" count="0" memberValueDatatype="130" unbalanced="0"/>
    <cacheHierarchy uniqueName="[users_id].[Логін]" caption="Логін" attribute="1" defaultMemberUniqueName="[users_id].[Логін].[All]" allUniqueName="[users_id].[Логін].[All]" dimensionUniqueName="[users_id]" displayFolder="" count="0"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0"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Клієнт 2]" caption="Count of Клієнт 2" measure="1" displayFolder="" measureGroup="invoice" count="0" hidden="1">
      <extLst>
        <ext xmlns:x15="http://schemas.microsoft.com/office/spreadsheetml/2010/11/main" uri="{B97F6D7D-B522-45F9-BDA1-12C45D357490}">
          <x15:cacheHierarchy aggregatedColumn="2"/>
        </ext>
      </extLst>
    </cacheHierarchy>
    <cacheHierarchy uniqueName="[Measures].[Sum of ID]" caption="Sum of ID" measure="1" displayFolder="" measureGroup="invoice"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invoice" count="0" hidden="1">
      <extLst>
        <ext xmlns:x15="http://schemas.microsoft.com/office/spreadsheetml/2010/11/main" uri="{B97F6D7D-B522-45F9-BDA1-12C45D357490}">
          <x15:cacheHierarchy aggregatedColumn="1"/>
        </ext>
      </extLst>
    </cacheHierarchy>
  </cacheHierarchies>
  <kpis count="0"/>
  <dimensions count="4">
    <dimension name="invoice" uniqueName="[invoice]" caption="invoice"/>
    <dimension measure="1" name="Measures" uniqueName="[Measures]" caption="Measures"/>
    <dimension name="users" uniqueName="[users]" caption="users"/>
    <dimension name="users_id" uniqueName="[users_id]" caption="users_id"/>
  </dimensions>
  <measureGroups count="3">
    <measureGroup name="invoice" caption="invoice"/>
    <measureGroup name="users" caption="users"/>
    <measureGroup name="users_id" caption="users_id"/>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54435648148" backgroundQuery="1" createdVersion="8" refreshedVersion="8" minRefreshableVersion="3" recordCount="0" supportSubquery="1" supportAdvancedDrill="1" xr:uid="{0FA2EF6E-F4E0-4958-8B7F-7C25F710CD5C}">
  <cacheSource type="external" connectionId="4"/>
  <cacheFields count="4">
    <cacheField name="[Measures].[Sum of Сума, євро]" caption="Sum of Сума, євро" numFmtId="0" hierarchy="27" level="32767"/>
    <cacheField name="[invoice].[Канал продажу].[Канал продажу]" caption="Канал продажу" numFmtId="0" level="1">
      <sharedItems count="6">
        <s v="Держ регіональні"/>
        <s v="Держ центральні"/>
        <s v="Дилерська мережа"/>
        <s v="Корп клієнти"/>
        <s v="Нові продажі"/>
        <s v="ЮрАудит бізнес"/>
      </sharedItems>
    </cacheField>
    <cacheField name="[Measures].[Average of Сума, євро]" caption="Average of Сума, євро" numFmtId="0" hierarchy="28" level="32767"/>
    <cacheField name="[Measures].[Count of ID]" caption="Count of ID" numFmtId="0" hierarchy="35" level="32767"/>
  </cacheFields>
  <cacheHierarchies count="36">
    <cacheHierarchy uniqueName="[invoice].[Канал продажу]" caption="Канал продажу" attribute="1" defaultMemberUniqueName="[invoice].[Канал продажу].[All]" allUniqueName="[invoice].[Канал продажу].[All]" dimensionUniqueName="[invoice]" displayFolder="" count="2" memberValueDatatype="130" unbalanced="0">
      <fieldsUsage count="2">
        <fieldUsage x="-1"/>
        <fieldUsage x="1"/>
      </fieldsUsage>
    </cacheHierarchy>
    <cacheHierarchy uniqueName="[invoice].[ID]" caption="ID" attribute="1" defaultMemberUniqueName="[invoice].[ID].[All]" allUniqueName="[invoice].[ID].[All]" dimensionUniqueName="[invoice]" displayFolder="" count="2" memberValueDatatype="20" unbalanced="0"/>
    <cacheHierarchy uniqueName="[invoice].[Клієнт]" caption="Клієнт" attribute="1" defaultMemberUniqueName="[invoice].[Клієнт].[All]" allUniqueName="[invoice].[Клієнт].[All]" dimensionUniqueName="[invoice]" displayFolder="" count="2" memberValueDatatype="130" unbalanced="0"/>
    <cacheHierarchy uniqueName="[invoice].[Прайс]" caption="Прайс" attribute="1" defaultMemberUniqueName="[invoice].[Прайс].[All]" allUniqueName="[invoice].[Прайс].[All]" dimensionUniqueName="[invoice]" displayFolder="" count="2"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2" memberValueDatatype="20" unbalanced="0"/>
    <cacheHierarchy uniqueName="[invoice].[Рік_місяць]" caption="Рік_місяць" attribute="1" time="1" defaultMemberUniqueName="[invoice].[Рік_місяць].[All]" allUniqueName="[invoice].[Рік_місяць].[All]" dimensionUniqueName="[invoice]" displayFolder="" count="2" memberValueDatatype="7" unbalanced="0"/>
    <cacheHierarchy uniqueName="[invoice].[Сегмент]" caption="Сегмент" attribute="1" defaultMemberUniqueName="[invoice].[Сегмент].[All]" allUniqueName="[invoice].[Сегмент].[All]" dimensionUniqueName="[invoice]" displayFolder="" count="2" memberValueDatatype="130" unbalanced="0"/>
    <cacheHierarchy uniqueName="[invoice].[Сума, євро]" caption="Сума, євро" attribute="1" defaultMemberUniqueName="[invoice].[Сума, євро].[All]" allUniqueName="[invoice].[Сума, євро].[All]" dimensionUniqueName="[invoice]" displayFolder="" count="2" memberValueDatatype="5" unbalanced="0"/>
    <cacheHierarchy uniqueName="[users].[ID]" caption="ID" attribute="1" defaultMemberUniqueName="[users].[ID].[All]" allUniqueName="[users].[ID].[All]" dimensionUniqueName="[users]" displayFolder="" count="2" memberValueDatatype="20" unbalanced="0"/>
    <cacheHierarchy uniqueName="[users].[Клієнт]" caption="Клієнт" attribute="1" defaultMemberUniqueName="[users].[Клієнт].[All]" allUniqueName="[users].[Клієнт].[All]" dimensionUniqueName="[users]" displayFolder="" count="2" memberValueDatatype="130" unbalanced="0"/>
    <cacheHierarchy uniqueName="[users].[Логін]" caption="Логін" attribute="1" defaultMemberUniqueName="[users].[Логін].[All]" allUniqueName="[users].[Логін].[All]" dimensionUniqueName="[users]" displayFolder="" count="2" memberValueDatatype="130" unbalanced="0"/>
    <cacheHierarchy uniqueName="[users].[Посада]" caption="Посада" attribute="1" defaultMemberUniqueName="[users].[Посада].[All]" allUniqueName="[users].[Посада].[All]" dimensionUniqueName="[users]" displayFolder="" count="2" memberValueDatatype="130" unbalanced="0"/>
    <cacheHierarchy uniqueName="[users].[Прайс]" caption="Прайс" attribute="1" defaultMemberUniqueName="[users].[Прайс].[All]" allUniqueName="[users].[Прайс].[All]" dimensionUniqueName="[users]" displayFolder="" count="2" memberValueDatatype="130" unbalanced="0"/>
    <cacheHierarchy uniqueName="[users].[Рік_місяць]" caption="Рік_місяць" attribute="1" time="1" defaultMemberUniqueName="[users].[Рік_місяць].[All]" allUniqueName="[users].[Рік_місяць].[All]" dimensionUniqueName="[users]" displayFolder="" count="2" memberValueDatatype="7" unbalanced="0"/>
    <cacheHierarchy uniqueName="[users].[Сегмент]" caption="Сегмент" attribute="1" defaultMemberUniqueName="[users].[Сегмент].[All]" allUniqueName="[users].[Сегмент].[All]" dimensionUniqueName="[users]" displayFolder="" count="2" memberValueDatatype="130" unbalanced="0"/>
    <cacheHierarchy uniqueName="[users].[Сума, євро]" caption="Сума, євро" attribute="1" defaultMemberUniqueName="[users].[Сума, євро].[All]" allUniqueName="[users].[Сума, євро].[All]" dimensionUniqueName="[users]" displayFolder="" count="2" memberValueDatatype="5" unbalanced="0"/>
    <cacheHierarchy uniqueName="[users_id].[ID]" caption="ID" attribute="1" defaultMemberUniqueName="[users_id].[ID].[All]" allUniqueName="[users_id].[ID].[All]" dimensionUniqueName="[users_id]" displayFolder="" count="2" memberValueDatatype="20" unbalanced="0"/>
    <cacheHierarchy uniqueName="[users_id].[Клієнт]" caption="Клієнт" attribute="1" defaultMemberUniqueName="[users_id].[Клієнт].[All]" allUniqueName="[users_id].[Клієнт].[All]" dimensionUniqueName="[users_id]" displayFolder="" count="2" memberValueDatatype="130" unbalanced="0"/>
    <cacheHierarchy uniqueName="[users_id].[Логін]" caption="Логін" attribute="1" defaultMemberUniqueName="[users_id].[Логін].[All]" allUniqueName="[users_id].[Логін].[All]" dimensionUniqueName="[users_id]" displayFolder="" count="2"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2"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hidden="1">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Count of Клієнт 2]" caption="Count of Клієнт 2" measure="1" displayFolder="" measureGroup="invoice" count="0" hidden="1">
      <extLst>
        <ext xmlns:x15="http://schemas.microsoft.com/office/spreadsheetml/2010/11/main" uri="{B97F6D7D-B522-45F9-BDA1-12C45D357490}">
          <x15:cacheHierarchy aggregatedColumn="2"/>
        </ext>
      </extLst>
    </cacheHierarchy>
    <cacheHierarchy uniqueName="[Measures].[Sum of ID]" caption="Sum of ID" measure="1" displayFolder="" measureGroup="invoice"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invoice" count="0" oneField="1" hidden="1">
      <fieldsUsage count="1">
        <fieldUsage x="3"/>
      </fieldsUsage>
      <extLst>
        <ext xmlns:x15="http://schemas.microsoft.com/office/spreadsheetml/2010/11/main" uri="{B97F6D7D-B522-45F9-BDA1-12C45D357490}">
          <x15:cacheHierarchy aggregatedColumn="1"/>
        </ext>
      </extLst>
    </cacheHierarchy>
  </cacheHierarchies>
  <kpis count="0"/>
  <dimensions count="4">
    <dimension name="invoice" uniqueName="[invoice]" caption="invoice"/>
    <dimension measure="1" name="Measures" uniqueName="[Measures]" caption="Measures"/>
    <dimension name="users" uniqueName="[users]" caption="users"/>
    <dimension name="users_id" uniqueName="[users_id]" caption="users_id"/>
  </dimensions>
  <measureGroups count="3">
    <measureGroup name="invoice" caption="invoice"/>
    <measureGroup name="users" caption="users"/>
    <measureGroup name="users_id" caption="users_id"/>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55403472223" backgroundQuery="1" createdVersion="8" refreshedVersion="8" minRefreshableVersion="3" recordCount="0" supportSubquery="1" supportAdvancedDrill="1" xr:uid="{C69AF5C4-2475-43A3-A9DA-D3DE9C5A0E88}">
  <cacheSource type="external" connectionId="4"/>
  <cacheFields count="5">
    <cacheField name="[Measures].[Sum of Сума, євро]" caption="Sum of Сума, євро" numFmtId="0" hierarchy="27" level="32767"/>
    <cacheField name="[invoice].[Канал продажу].[Канал продажу]" caption="Канал продажу" numFmtId="0" level="1">
      <sharedItems count="6">
        <s v="Держ регіональні"/>
        <s v="Держ центральні"/>
        <s v="Дилерська мережа"/>
        <s v="Корп клієнти"/>
        <s v="Нові продажі"/>
        <s v="ЮрАудит бізнес"/>
      </sharedItems>
    </cacheField>
    <cacheField name="[Measures].[Average of Сума, євро]" caption="Average of Сума, євро" numFmtId="0" hierarchy="28" level="32767"/>
    <cacheField name="[Measures].[Count of ID]" caption="Count of ID" numFmtId="0" hierarchy="35" level="32767"/>
    <cacheField name="[invoice].[Сегмент].[Сегмент]" caption="Сегмент" numFmtId="0" hierarchy="6" level="1">
      <sharedItems count="10">
        <s v="ГОС БЮДЖЕТ"/>
        <s v="ГОС ВЛАСТЬ"/>
        <s v="ГОСПРЕДПРИЯТИЕ"/>
        <s v="КРУПНЫЙ БИЗНЕС"/>
        <s v="МАЛЫЙ БИЗНЕС"/>
        <s v="МАЛЫЙ БУХ.-АУДИТ. БИЗНЕС"/>
        <s v="МАЛЫЙ ЮР. БИЗНЕС"/>
        <s v="СРЕДНИЙ БИЗНЕС"/>
        <s v="СРЕДНИЙ ЮР. БИЗНЕС"/>
        <s v="ФИЗ.ЛИЦО-ПРЕДПРИНИМАТЕЛЬ"/>
      </sharedItems>
    </cacheField>
  </cacheFields>
  <cacheHierarchies count="36">
    <cacheHierarchy uniqueName="[invoice].[Канал продажу]" caption="Канал продажу" attribute="1" defaultMemberUniqueName="[invoice].[Канал продажу].[All]" allUniqueName="[invoice].[Канал продажу].[All]" dimensionUniqueName="[invoice]" displayFolder="" count="2" memberValueDatatype="130" unbalanced="0">
      <fieldsUsage count="2">
        <fieldUsage x="-1"/>
        <fieldUsage x="1"/>
      </fieldsUsage>
    </cacheHierarchy>
    <cacheHierarchy uniqueName="[invoice].[ID]" caption="ID" attribute="1" defaultMemberUniqueName="[invoice].[ID].[All]" allUniqueName="[invoice].[ID].[All]" dimensionUniqueName="[invoice]" displayFolder="" count="0" memberValueDatatype="20" unbalanced="0"/>
    <cacheHierarchy uniqueName="[invoice].[Клієнт]" caption="Клієнт" attribute="1" defaultMemberUniqueName="[invoice].[Клієнт].[All]" allUniqueName="[invoice].[Клієнт].[All]" dimensionUniqueName="[invoice]" displayFolder="" count="0" memberValueDatatype="130" unbalanced="0"/>
    <cacheHierarchy uniqueName="[invoice].[Прайс]" caption="Прайс" attribute="1" defaultMemberUniqueName="[invoice].[Прайс].[All]" allUniqueName="[invoice].[Прайс].[All]" dimensionUniqueName="[invoice]" displayFolder="" count="0"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0" memberValueDatatype="20" unbalanced="0"/>
    <cacheHierarchy uniqueName="[invoice].[Рік_місяць]" caption="Рік_місяць" attribute="1" time="1" defaultMemberUniqueName="[invoice].[Рік_місяць].[All]" allUniqueName="[invoice].[Рік_місяць].[All]" dimensionUniqueName="[invoice]" displayFolder="" count="0" memberValueDatatype="7" unbalanced="0"/>
    <cacheHierarchy uniqueName="[invoice].[Сегмент]" caption="Сегмент" attribute="1" defaultMemberUniqueName="[invoice].[Сегмент].[All]" allUniqueName="[invoice].[Сегмент].[All]" dimensionUniqueName="[invoice]" displayFolder="" count="2" memberValueDatatype="130" unbalanced="0">
      <fieldsUsage count="2">
        <fieldUsage x="-1"/>
        <fieldUsage x="4"/>
      </fieldsUsage>
    </cacheHierarchy>
    <cacheHierarchy uniqueName="[invoice].[Сума, євро]" caption="Сума, євро" attribute="1" defaultMemberUniqueName="[invoice].[Сума, євро].[All]" allUniqueName="[invoice].[Сума, євро].[All]" dimensionUniqueName="[invoice]" displayFolder="" count="0" memberValueDatatype="5" unbalanced="0"/>
    <cacheHierarchy uniqueName="[users].[ID]" caption="ID" attribute="1" defaultMemberUniqueName="[users].[ID].[All]" allUniqueName="[users].[ID].[All]" dimensionUniqueName="[users]" displayFolder="" count="0" memberValueDatatype="20" unbalanced="0"/>
    <cacheHierarchy uniqueName="[users].[Клієнт]" caption="Клієнт" attribute="1" defaultMemberUniqueName="[users].[Клієнт].[All]" allUniqueName="[users].[Клієнт].[All]" dimensionUniqueName="[users]" displayFolder="" count="0" memberValueDatatype="130" unbalanced="0"/>
    <cacheHierarchy uniqueName="[users].[Логін]" caption="Логін" attribute="1" defaultMemberUniqueName="[users].[Логін].[All]" allUniqueName="[users].[Логін].[All]" dimensionUniqueName="[users]" displayFolder="" count="0" memberValueDatatype="130" unbalanced="0"/>
    <cacheHierarchy uniqueName="[users].[Посада]" caption="Посада" attribute="1" defaultMemberUniqueName="[users].[Посада].[All]" allUniqueName="[users].[Посада].[All]" dimensionUniqueName="[users]" displayFolder="" count="0" memberValueDatatype="130" unbalanced="0"/>
    <cacheHierarchy uniqueName="[users].[Прайс]" caption="Прайс" attribute="1" defaultMemberUniqueName="[users].[Прайс].[All]" allUniqueName="[users].[Прайс].[All]" dimensionUniqueName="[users]" displayFolder="" count="0" memberValueDatatype="130" unbalanced="0"/>
    <cacheHierarchy uniqueName="[users].[Рік_місяць]" caption="Рік_місяць" attribute="1" time="1" defaultMemberUniqueName="[users].[Рік_місяць].[All]" allUniqueName="[users].[Рік_місяць].[All]" dimensionUniqueName="[users]" displayFolder="" count="0" memberValueDatatype="7" unbalanced="0"/>
    <cacheHierarchy uniqueName="[users].[Сегмент]" caption="Сегмент" attribute="1" defaultMemberUniqueName="[users].[Сегмент].[All]" allUniqueName="[users].[Сегмент].[All]" dimensionUniqueName="[users]" displayFolder="" count="0" memberValueDatatype="130" unbalanced="0"/>
    <cacheHierarchy uniqueName="[users].[Сума, євро]" caption="Сума, євро" attribute="1" defaultMemberUniqueName="[users].[Сума, євро].[All]" allUniqueName="[users].[Сума, євро].[All]" dimensionUniqueName="[users]" displayFolder="" count="0" memberValueDatatype="5" unbalanced="0"/>
    <cacheHierarchy uniqueName="[users_id].[ID]" caption="ID" attribute="1" defaultMemberUniqueName="[users_id].[ID].[All]" allUniqueName="[users_id].[ID].[All]" dimensionUniqueName="[users_id]" displayFolder="" count="0" memberValueDatatype="20" unbalanced="0"/>
    <cacheHierarchy uniqueName="[users_id].[Клієнт]" caption="Клієнт" attribute="1" defaultMemberUniqueName="[users_id].[Клієнт].[All]" allUniqueName="[users_id].[Клієнт].[All]" dimensionUniqueName="[users_id]" displayFolder="" count="0" memberValueDatatype="130" unbalanced="0"/>
    <cacheHierarchy uniqueName="[users_id].[Логін]" caption="Логін" attribute="1" defaultMemberUniqueName="[users_id].[Логін].[All]" allUniqueName="[users_id].[Логін].[All]" dimensionUniqueName="[users_id]" displayFolder="" count="0"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0"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hidden="1">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Count of Клієнт 2]" caption="Count of Клієнт 2" measure="1" displayFolder="" measureGroup="invoice" count="0" hidden="1">
      <extLst>
        <ext xmlns:x15="http://schemas.microsoft.com/office/spreadsheetml/2010/11/main" uri="{B97F6D7D-B522-45F9-BDA1-12C45D357490}">
          <x15:cacheHierarchy aggregatedColumn="2"/>
        </ext>
      </extLst>
    </cacheHierarchy>
    <cacheHierarchy uniqueName="[Measures].[Sum of ID]" caption="Sum of ID" measure="1" displayFolder="" measureGroup="invoice"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invoice" count="0" oneField="1" hidden="1">
      <fieldsUsage count="1">
        <fieldUsage x="3"/>
      </fieldsUsage>
      <extLst>
        <ext xmlns:x15="http://schemas.microsoft.com/office/spreadsheetml/2010/11/main" uri="{B97F6D7D-B522-45F9-BDA1-12C45D357490}">
          <x15:cacheHierarchy aggregatedColumn="1"/>
        </ext>
      </extLst>
    </cacheHierarchy>
  </cacheHierarchies>
  <kpis count="0"/>
  <dimensions count="4">
    <dimension name="invoice" uniqueName="[invoice]" caption="invoice"/>
    <dimension measure="1" name="Measures" uniqueName="[Measures]" caption="Measures"/>
    <dimension name="users" uniqueName="[users]" caption="users"/>
    <dimension name="users_id" uniqueName="[users_id]" caption="users_id"/>
  </dimensions>
  <measureGroups count="3">
    <measureGroup name="invoice" caption="invoice"/>
    <measureGroup name="users" caption="users"/>
    <measureGroup name="users_id" caption="users_id"/>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49610879629" backgroundQuery="1" createdVersion="3" refreshedVersion="8" minRefreshableVersion="3" recordCount="0" supportSubquery="1" supportAdvancedDrill="1" xr:uid="{1BD52513-AAB9-4DA1-B2D9-70BB9619AEF7}">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invoice].[Канал продажу]" caption="Канал продажу" attribute="1" defaultMemberUniqueName="[invoice].[Канал продажу].[All]" allUniqueName="[invoice].[Канал продажу].[All]" dimensionUniqueName="[invoice]" displayFolder="" count="0" memberValueDatatype="130" unbalanced="0"/>
    <cacheHierarchy uniqueName="[invoice].[ID]" caption="ID" attribute="1" defaultMemberUniqueName="[invoice].[ID].[All]" allUniqueName="[invoice].[ID].[All]" dimensionUniqueName="[invoice]" displayFolder="" count="0" memberValueDatatype="20" unbalanced="0"/>
    <cacheHierarchy uniqueName="[invoice].[Клієнт]" caption="Клієнт" attribute="1" defaultMemberUniqueName="[invoice].[Клієнт].[All]" allUniqueName="[invoice].[Клієнт].[All]" dimensionUniqueName="[invoice]" displayFolder="" count="0" memberValueDatatype="130" unbalanced="0"/>
    <cacheHierarchy uniqueName="[invoice].[Прайс]" caption="Прайс" attribute="1" defaultMemberUniqueName="[invoice].[Прайс].[All]" allUniqueName="[invoice].[Прайс].[All]" dimensionUniqueName="[invoice]" displayFolder="" count="0"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0" memberValueDatatype="20" unbalanced="0"/>
    <cacheHierarchy uniqueName="[invoice].[Рік_місяць]" caption="Рік_місяць" attribute="1" time="1" defaultMemberUniqueName="[invoice].[Рік_місяць].[All]" allUniqueName="[invoice].[Рік_місяць].[All]" dimensionUniqueName="[invoice]" displayFolder="" count="0" memberValueDatatype="7" unbalanced="0"/>
    <cacheHierarchy uniqueName="[invoice].[Сегмент]" caption="Сегмент" attribute="1" defaultMemberUniqueName="[invoice].[Сегмент].[All]" allUniqueName="[invoice].[Сегмент].[All]" dimensionUniqueName="[invoice]" displayFolder="" count="0" memberValueDatatype="130" unbalanced="0"/>
    <cacheHierarchy uniqueName="[invoice].[Сума, євро]" caption="Сума, євро" attribute="1" defaultMemberUniqueName="[invoice].[Сума, євро].[All]" allUniqueName="[invoice].[Сума, євро].[All]" dimensionUniqueName="[invoice]" displayFolder="" count="0" memberValueDatatype="5" unbalanced="0"/>
    <cacheHierarchy uniqueName="[users].[ID]" caption="ID" attribute="1" defaultMemberUniqueName="[users].[ID].[All]" allUniqueName="[users].[ID].[All]" dimensionUniqueName="[users]" displayFolder="" count="0" memberValueDatatype="20" unbalanced="0"/>
    <cacheHierarchy uniqueName="[users].[Клієнт]" caption="Клієнт" attribute="1" defaultMemberUniqueName="[users].[Клієнт].[All]" allUniqueName="[users].[Клієнт].[All]" dimensionUniqueName="[users]" displayFolder="" count="0" memberValueDatatype="130" unbalanced="0"/>
    <cacheHierarchy uniqueName="[users].[Логін]" caption="Логін" attribute="1" defaultMemberUniqueName="[users].[Логін].[All]" allUniqueName="[users].[Логін].[All]" dimensionUniqueName="[users]" displayFolder="" count="0" memberValueDatatype="130" unbalanced="0"/>
    <cacheHierarchy uniqueName="[users].[Посада]" caption="Посада" attribute="1" defaultMemberUniqueName="[users].[Посада].[All]" allUniqueName="[users].[Посада].[All]" dimensionUniqueName="[users]" displayFolder="" count="0" memberValueDatatype="130" unbalanced="0"/>
    <cacheHierarchy uniqueName="[users].[Прайс]" caption="Прайс" attribute="1" defaultMemberUniqueName="[users].[Прайс].[All]" allUniqueName="[users].[Прайс].[All]" dimensionUniqueName="[users]" displayFolder="" count="2" memberValueDatatype="130" unbalanced="0"/>
    <cacheHierarchy uniqueName="[users].[Рік_місяць]" caption="Рік_місяць" attribute="1" time="1" defaultMemberUniqueName="[users].[Рік_місяць].[All]" allUniqueName="[users].[Рік_місяць].[All]" dimensionUniqueName="[users]" displayFolder="" count="2" memberValueDatatype="7" unbalanced="0"/>
    <cacheHierarchy uniqueName="[users].[Сегмент]" caption="Сегмент" attribute="1" defaultMemberUniqueName="[users].[Сегмент].[All]" allUniqueName="[users].[Сегмент].[All]" dimensionUniqueName="[users]" displayFolder="" count="0" memberValueDatatype="130" unbalanced="0"/>
    <cacheHierarchy uniqueName="[users].[Сума, євро]" caption="Сума, євро" attribute="1" defaultMemberUniqueName="[users].[Сума, євро].[All]" allUniqueName="[users].[Сума, євро].[All]" dimensionUniqueName="[users]" displayFolder="" count="0" memberValueDatatype="5" unbalanced="0"/>
    <cacheHierarchy uniqueName="[users_id].[ID]" caption="ID" attribute="1" defaultMemberUniqueName="[users_id].[ID].[All]" allUniqueName="[users_id].[ID].[All]" dimensionUniqueName="[users_id]" displayFolder="" count="0" memberValueDatatype="20" unbalanced="0"/>
    <cacheHierarchy uniqueName="[users_id].[Клієнт]" caption="Клієнт" attribute="1" defaultMemberUniqueName="[users_id].[Клієнт].[All]" allUniqueName="[users_id].[Клієнт].[All]" dimensionUniqueName="[users_id]" displayFolder="" count="0" memberValueDatatype="130" unbalanced="0"/>
    <cacheHierarchy uniqueName="[users_id].[Логін]" caption="Логін" attribute="1" defaultMemberUniqueName="[users_id].[Логін].[All]" allUniqueName="[users_id].[Логін].[All]" dimensionUniqueName="[users_id]" displayFolder="" count="0"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0"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hidden="1">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78562935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Володимир Возняк" refreshedDate="45990.554433101854" backgroundQuery="1" createdVersion="3" refreshedVersion="8" minRefreshableVersion="3" recordCount="0" supportSubquery="1" supportAdvancedDrill="1" xr:uid="{11822A50-0457-4A53-9C30-F5B21B3BCBC1}">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invoice].[Канал продажу]" caption="Канал продажу" attribute="1" defaultMemberUniqueName="[invoice].[Канал продажу].[All]" allUniqueName="[invoice].[Канал продажу].[All]" dimensionUniqueName="[invoice]" displayFolder="" count="0" memberValueDatatype="130" unbalanced="0"/>
    <cacheHierarchy uniqueName="[invoice].[ID]" caption="ID" attribute="1" defaultMemberUniqueName="[invoice].[ID].[All]" allUniqueName="[invoice].[ID].[All]" dimensionUniqueName="[invoice]" displayFolder="" count="0" memberValueDatatype="20" unbalanced="0"/>
    <cacheHierarchy uniqueName="[invoice].[Клієнт]" caption="Клієнт" attribute="1" defaultMemberUniqueName="[invoice].[Клієнт].[All]" allUniqueName="[invoice].[Клієнт].[All]" dimensionUniqueName="[invoice]" displayFolder="" count="0" memberValueDatatype="130" unbalanced="0"/>
    <cacheHierarchy uniqueName="[invoice].[Прайс]" caption="Прайс" attribute="1" defaultMemberUniqueName="[invoice].[Прайс].[All]" allUniqueName="[invoice].[Прайс].[All]" dimensionUniqueName="[invoice]" displayFolder="" count="2" memberValueDatatype="130" unbalanced="0"/>
    <cacheHierarchy uniqueName="[invoice].[Номер рахунку]" caption="Номер рахунку" attribute="1" defaultMemberUniqueName="[invoice].[Номер рахунку].[All]" allUniqueName="[invoice].[Номер рахунку].[All]" dimensionUniqueName="[invoice]" displayFolder="" count="0" memberValueDatatype="20" unbalanced="0"/>
    <cacheHierarchy uniqueName="[invoice].[Рік_місяць]" caption="Рік_місяць" attribute="1" time="1" defaultMemberUniqueName="[invoice].[Рік_місяць].[All]" allUniqueName="[invoice].[Рік_місяць].[All]" dimensionUniqueName="[invoice]" displayFolder="" count="2" memberValueDatatype="7" unbalanced="0"/>
    <cacheHierarchy uniqueName="[invoice].[Сегмент]" caption="Сегмент" attribute="1" defaultMemberUniqueName="[invoice].[Сегмент].[All]" allUniqueName="[invoice].[Сегмент].[All]" dimensionUniqueName="[invoice]" displayFolder="" count="0" memberValueDatatype="130" unbalanced="0"/>
    <cacheHierarchy uniqueName="[invoice].[Сума, євро]" caption="Сума, євро" attribute="1" defaultMemberUniqueName="[invoice].[Сума, євро].[All]" allUniqueName="[invoice].[Сума, євро].[All]" dimensionUniqueName="[invoice]" displayFolder="" count="0" memberValueDatatype="5" unbalanced="0"/>
    <cacheHierarchy uniqueName="[users].[ID]" caption="ID" attribute="1" defaultMemberUniqueName="[users].[ID].[All]" allUniqueName="[users].[ID].[All]" dimensionUniqueName="[users]" displayFolder="" count="0" memberValueDatatype="20" unbalanced="0"/>
    <cacheHierarchy uniqueName="[users].[Клієнт]" caption="Клієнт" attribute="1" defaultMemberUniqueName="[users].[Клієнт].[All]" allUniqueName="[users].[Клієнт].[All]" dimensionUniqueName="[users]" displayFolder="" count="0" memberValueDatatype="130" unbalanced="0"/>
    <cacheHierarchy uniqueName="[users].[Логін]" caption="Логін" attribute="1" defaultMemberUniqueName="[users].[Логін].[All]" allUniqueName="[users].[Логін].[All]" dimensionUniqueName="[users]" displayFolder="" count="0" memberValueDatatype="130" unbalanced="0"/>
    <cacheHierarchy uniqueName="[users].[Посада]" caption="Посада" attribute="1" defaultMemberUniqueName="[users].[Посада].[All]" allUniqueName="[users].[Посада].[All]" dimensionUniqueName="[users]" displayFolder="" count="0" memberValueDatatype="130" unbalanced="0"/>
    <cacheHierarchy uniqueName="[users].[Прайс]" caption="Прайс" attribute="1" defaultMemberUniqueName="[users].[Прайс].[All]" allUniqueName="[users].[Прайс].[All]" dimensionUniqueName="[users]" displayFolder="" count="0" memberValueDatatype="130" unbalanced="0"/>
    <cacheHierarchy uniqueName="[users].[Рік_місяць]" caption="Рік_місяць" attribute="1" time="1" defaultMemberUniqueName="[users].[Рік_місяць].[All]" allUniqueName="[users].[Рік_місяць].[All]" dimensionUniqueName="[users]" displayFolder="" count="0" memberValueDatatype="7" unbalanced="0"/>
    <cacheHierarchy uniqueName="[users].[Сегмент]" caption="Сегмент" attribute="1" defaultMemberUniqueName="[users].[Сегмент].[All]" allUniqueName="[users].[Сегмент].[All]" dimensionUniqueName="[users]" displayFolder="" count="0" memberValueDatatype="130" unbalanced="0"/>
    <cacheHierarchy uniqueName="[users].[Сума, євро]" caption="Сума, євро" attribute="1" defaultMemberUniqueName="[users].[Сума, євро].[All]" allUniqueName="[users].[Сума, євро].[All]" dimensionUniqueName="[users]" displayFolder="" count="0" memberValueDatatype="5" unbalanced="0"/>
    <cacheHierarchy uniqueName="[users_id].[ID]" caption="ID" attribute="1" defaultMemberUniqueName="[users_id].[ID].[All]" allUniqueName="[users_id].[ID].[All]" dimensionUniqueName="[users_id]" displayFolder="" count="0" memberValueDatatype="20" unbalanced="0"/>
    <cacheHierarchy uniqueName="[users_id].[Клієнт]" caption="Клієнт" attribute="1" defaultMemberUniqueName="[users_id].[Клієнт].[All]" allUniqueName="[users_id].[Клієнт].[All]" dimensionUniqueName="[users_id]" displayFolder="" count="0" memberValueDatatype="130" unbalanced="0"/>
    <cacheHierarchy uniqueName="[users_id].[Логін]" caption="Логін" attribute="1" defaultMemberUniqueName="[users_id].[Логін].[All]" allUniqueName="[users_id].[Логін].[All]" dimensionUniqueName="[users_id]" displayFolder="" count="0" memberValueDatatype="130" unbalanced="0"/>
    <cacheHierarchy uniqueName="[users_id].[Список посад]" caption="Список посад" attribute="1" defaultMemberUniqueName="[users_id].[Список посад].[All]" allUniqueName="[users_id].[Список посад].[All]" dimensionUniqueName="[users_id]" displayFolder="" count="0" memberValueDatatype="130" unbalanced="0"/>
    <cacheHierarchy uniqueName="[Measures].[Total_Sum]" caption="Total_Sum" measure="1" displayFolder="" measureGroup="users" count="0"/>
    <cacheHierarchy uniqueName="[Measures].[Total_Summ]" caption="Total_Summ" measure="1" displayFolder="" measureGroup="invoice" count="0"/>
    <cacheHierarchy uniqueName="[Measures].[__XL_Count users]" caption="__XL_Count users" measure="1" displayFolder="" measureGroup="users" count="0" hidden="1"/>
    <cacheHierarchy uniqueName="[Measures].[__XL_Count invoice]" caption="__XL_Count invoice" measure="1" displayFolder="" measureGroup="invoice" count="0" hidden="1"/>
    <cacheHierarchy uniqueName="[Measures].[__XL_Count users_id]" caption="__XL_Count users_id" measure="1" displayFolder="" measureGroup="users_id" count="0" hidden="1"/>
    <cacheHierarchy uniqueName="[Measures].[__No measures defined]" caption="__No measures defined" measure="1" displayFolder="" count="0" hidden="1"/>
    <cacheHierarchy uniqueName="[Measures].[Count of Клієнт]" caption="Count of Клієнт" measure="1" displayFolder="" measureGroup="users_id" count="0" hidden="1">
      <extLst>
        <ext xmlns:x15="http://schemas.microsoft.com/office/spreadsheetml/2010/11/main" uri="{B97F6D7D-B522-45F9-BDA1-12C45D357490}">
          <x15:cacheHierarchy aggregatedColumn="17"/>
        </ext>
      </extLst>
    </cacheHierarchy>
    <cacheHierarchy uniqueName="[Measures].[Sum of Сума, євро]" caption="Sum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Average of Сума, євро]" caption="Average of Сума, євро" measure="1" displayFolder="" measureGroup="invoice" count="0" hidden="1">
      <extLst>
        <ext xmlns:x15="http://schemas.microsoft.com/office/spreadsheetml/2010/11/main" uri="{B97F6D7D-B522-45F9-BDA1-12C45D357490}">
          <x15:cacheHierarchy aggregatedColumn="7"/>
        </ext>
      </extLst>
    </cacheHierarchy>
    <cacheHierarchy uniqueName="[Measures].[Count of Логін]" caption="Count of Логін" measure="1" displayFolder="" measureGroup="users_id" count="0" hidden="1">
      <extLst>
        <ext xmlns:x15="http://schemas.microsoft.com/office/spreadsheetml/2010/11/main" uri="{B97F6D7D-B522-45F9-BDA1-12C45D357490}">
          <x15:cacheHierarchy aggregatedColumn="18"/>
        </ext>
      </extLst>
    </cacheHierarchy>
    <cacheHierarchy uniqueName="[Measures].[Count of Логін 2]" caption="Count of Логін 2" measure="1" displayFolder="" measureGroup="users" count="0" hidden="1">
      <extLst>
        <ext xmlns:x15="http://schemas.microsoft.com/office/spreadsheetml/2010/11/main" uri="{B97F6D7D-B522-45F9-BDA1-12C45D357490}">
          <x15:cacheHierarchy aggregatedColumn="10"/>
        </ext>
      </extLst>
    </cacheHierarchy>
    <cacheHierarchy uniqueName="[Measures].[Sum of Сума, євро 2]" caption="Sum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Average of Сума, євро 2]" caption="Average of Сума, євро 2" measure="1" displayFolder="" measureGroup="users" count="0" hidden="1">
      <extLst>
        <ext xmlns:x15="http://schemas.microsoft.com/office/spreadsheetml/2010/11/main" uri="{B97F6D7D-B522-45F9-BDA1-12C45D357490}">
          <x15:cacheHierarchy aggregatedColumn="15"/>
        </ext>
      </extLst>
    </cacheHierarchy>
    <cacheHierarchy uniqueName="[Measures].[Count of Клієнт 2]" caption="Count of Клієнт 2" measure="1" displayFolder="" measureGroup="invoice" count="0" hidden="1">
      <extLst>
        <ext xmlns:x15="http://schemas.microsoft.com/office/spreadsheetml/2010/11/main" uri="{B97F6D7D-B522-45F9-BDA1-12C45D357490}">
          <x15:cacheHierarchy aggregatedColumn="2"/>
        </ext>
      </extLst>
    </cacheHierarchy>
    <cacheHierarchy uniqueName="[Measures].[Sum of ID]" caption="Sum of ID" measure="1" displayFolder="" measureGroup="invoice"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invoic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435741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DD76B-E2FE-4D5B-B566-BAFD405E4558}" name="PivotTable6" cacheId="576" applyNumberFormats="0" applyBorderFormats="0" applyFontFormats="0" applyPatternFormats="0" applyAlignmentFormats="0" applyWidthHeightFormats="1" dataCaption="Values" tag="c2af3ddb-1779-4940-b164-b7813fcdfb8e" updatedVersion="8" minRefreshableVersion="3" useAutoFormatting="1" subtotalHiddenItems="1" itemPrintTitles="1" createdVersion="8" indent="0" outline="1" outlineData="1" multipleFieldFilters="0" rowHeaderCaption="Канал">
  <location ref="M18:P29" firstHeaderRow="0" firstDataRow="1" firstDataCol="1"/>
  <pivotFields count="5">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4"/>
    </i>
    <i>
      <x v="7"/>
    </i>
    <i>
      <x v="1"/>
    </i>
    <i>
      <x v="2"/>
    </i>
    <i>
      <x v="6"/>
    </i>
    <i>
      <x v="5"/>
    </i>
    <i>
      <x v="3"/>
    </i>
    <i>
      <x/>
    </i>
    <i>
      <x v="9"/>
    </i>
    <i>
      <x v="8"/>
    </i>
    <i t="grand">
      <x/>
    </i>
  </rowItems>
  <colFields count="1">
    <field x="-2"/>
  </colFields>
  <colItems count="3">
    <i>
      <x/>
    </i>
    <i i="1">
      <x v="1"/>
    </i>
    <i i="2">
      <x v="2"/>
    </i>
  </colItems>
  <dataFields count="3">
    <dataField name="К-ть клієнтів" fld="3" subtotal="count" baseField="1" baseItem="0"/>
    <dataField name=" Сума, євро" fld="0" baseField="0" baseItem="0" numFmtId="164"/>
    <dataField name="Середній чек, євро" fld="2" subtotal="average" baseField="1" baseItem="0" numFmtId="164"/>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Сума, євро"/>
    <pivotHierarchy dragToData="1" caption="Середній чек, євро"/>
    <pivotHierarchy dragToData="1"/>
    <pivotHierarchy dragToData="1"/>
    <pivotHierarchy dragToData="1"/>
    <pivotHierarchy dragToData="1"/>
    <pivotHierarchy dragToData="1"/>
    <pivotHierarchy dragToData="1"/>
    <pivotHierarchy dragToData="1" caption="К-ть клієнтів"/>
  </pivotHierarchies>
  <pivotTableStyleInfo name="PivotStyleMedium4" showRowHeaders="1" showColHeaders="1" showRowStripes="1" showColStripes="1"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ACBF5D-3DC5-452E-AFC0-CDC806DDEA99}" name="PivotTable4" cacheId="555" applyNumberFormats="0" applyBorderFormats="0" applyFontFormats="0" applyPatternFormats="0" applyAlignmentFormats="0" applyWidthHeightFormats="1" dataCaption="Values" tag="4b9c4a0b-a101-4aa7-bea6-b7b6c322c2e5" updatedVersion="8" minRefreshableVersion="3" useAutoFormatting="1" itemPrintTitles="1" createdVersion="8" indent="0" outline="1" outlineData="1" multipleFieldFilters="0" rowHeaderCaption="Канал">
  <location ref="M3:P10" firstHeaderRow="0"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7">
    <i>
      <x v="2"/>
    </i>
    <i>
      <x v="5"/>
    </i>
    <i>
      <x v="4"/>
    </i>
    <i>
      <x/>
    </i>
    <i>
      <x v="1"/>
    </i>
    <i>
      <x v="3"/>
    </i>
    <i t="grand">
      <x/>
    </i>
  </rowItems>
  <colFields count="1">
    <field x="-2"/>
  </colFields>
  <colItems count="3">
    <i>
      <x/>
    </i>
    <i i="1">
      <x v="1"/>
    </i>
    <i i="2">
      <x v="2"/>
    </i>
  </colItems>
  <dataFields count="3">
    <dataField name="К-ть клієнтів" fld="3" subtotal="count" baseField="1" baseItem="0"/>
    <dataField name=" Сума, євро" fld="0" baseField="0" baseItem="0"/>
    <dataField name="Середній чек, євро" fld="2" subtotal="average" baseField="1" baseItem="0"/>
  </dataFields>
  <formats count="2">
    <format dxfId="11">
      <pivotArea collapsedLevelsAreSubtotals="1" fieldPosition="0">
        <references count="2">
          <reference field="4294967294" count="1" selected="0">
            <x v="1"/>
          </reference>
          <reference field="1" count="1">
            <x v="5"/>
          </reference>
        </references>
      </pivotArea>
    </format>
    <format dxfId="10">
      <pivotArea collapsedLevelsAreSubtotals="1" fieldPosition="0">
        <references count="2">
          <reference field="4294967294" count="1" selected="0">
            <x v="2"/>
          </reference>
          <reference field="1" count="1">
            <x v="5"/>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Сума, євро"/>
    <pivotHierarchy dragToData="1" caption="Середній чек, євро"/>
    <pivotHierarchy dragToData="1"/>
    <pivotHierarchy dragToData="1"/>
    <pivotHierarchy dragToData="1"/>
    <pivotHierarchy dragToData="1"/>
    <pivotHierarchy dragToData="1"/>
    <pivotHierarchy dragToData="1"/>
    <pivotHierarchy dragToData="1" caption="К-ть клієнтів"/>
  </pivotHierarchies>
  <pivotTableStyleInfo name="PivotStyleMedium4" showRowHeaders="1" showColHeaders="1" showRowStripes="1" showColStripes="1"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76B898-7B73-477B-ACA0-40EDEADB3DCE}" name="PivotTable1" cacheId="544" applyNumberFormats="0" applyBorderFormats="0" applyFontFormats="0" applyPatternFormats="0" applyAlignmentFormats="0" applyWidthHeightFormats="1" dataCaption="Values" tag="886e6945-cc85-4c07-923d-f7b9887a66c4" updatedVersion="8" minRefreshableVersion="3" useAutoFormatting="1" subtotalHiddenItems="1" itemPrintTitles="1" createdVersion="8" indent="0" outline="1" outlineData="1" multipleFieldFilters="0" rowHeaderCaption="Сегмент/Посада">
  <location ref="H3:K65" firstHeaderRow="0" firstDataRow="1" firstDataCol="1"/>
  <pivotFields count="6">
    <pivotField dataField="1" subtotalTop="0" showAll="0" defaultSubtotal="0"/>
    <pivotField axis="axisRow" allDrilled="1" showAll="0"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dataField="1" showAll="0"/>
    <pivotField axis="axisRow"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2">
    <field x="5"/>
    <field x="1"/>
  </rowFields>
  <rowItems count="62">
    <i>
      <x v="4"/>
    </i>
    <i r="1">
      <x v="5"/>
    </i>
    <i r="1">
      <x v="3"/>
    </i>
    <i r="1">
      <x v="7"/>
    </i>
    <i r="1">
      <x v="4"/>
    </i>
    <i r="1">
      <x v="1"/>
    </i>
    <i r="1">
      <x v="8"/>
    </i>
    <i r="1">
      <x v="12"/>
    </i>
    <i r="1">
      <x v="2"/>
    </i>
    <i r="1">
      <x v="11"/>
    </i>
    <i>
      <x v="7"/>
    </i>
    <i r="1">
      <x v="4"/>
    </i>
    <i r="1">
      <x v="1"/>
    </i>
    <i r="1">
      <x v="11"/>
    </i>
    <i r="1">
      <x v="13"/>
    </i>
    <i r="1">
      <x v="12"/>
    </i>
    <i r="1">
      <x v="7"/>
    </i>
    <i r="1">
      <x v="3"/>
    </i>
    <i r="1">
      <x v="8"/>
    </i>
    <i r="1">
      <x v="2"/>
    </i>
    <i r="1">
      <x v="10"/>
    </i>
    <i>
      <x v="1"/>
    </i>
    <i r="1">
      <x v="6"/>
    </i>
    <i r="1">
      <x v="1"/>
    </i>
    <i r="1">
      <x v="5"/>
    </i>
    <i r="1">
      <x v="4"/>
    </i>
    <i r="1">
      <x v="2"/>
    </i>
    <i r="1">
      <x v="8"/>
    </i>
    <i r="1">
      <x v="3"/>
    </i>
    <i r="1">
      <x v="7"/>
    </i>
    <i>
      <x v="3"/>
    </i>
    <i r="1">
      <x v="3"/>
    </i>
    <i r="1">
      <x v="9"/>
    </i>
    <i r="1">
      <x/>
    </i>
    <i r="1">
      <x v="4"/>
    </i>
    <i r="1">
      <x v="10"/>
    </i>
    <i>
      <x v="2"/>
    </i>
    <i r="1">
      <x v="8"/>
    </i>
    <i r="1">
      <x v="5"/>
    </i>
    <i r="1">
      <x v="4"/>
    </i>
    <i r="1">
      <x v="9"/>
    </i>
    <i>
      <x v="5"/>
    </i>
    <i r="1">
      <x v="7"/>
    </i>
    <i r="1">
      <x v="8"/>
    </i>
    <i r="1">
      <x v="1"/>
    </i>
    <i r="1">
      <x/>
    </i>
    <i r="1">
      <x v="2"/>
    </i>
    <i>
      <x v="6"/>
    </i>
    <i r="1">
      <x v="5"/>
    </i>
    <i r="1">
      <x v="9"/>
    </i>
    <i r="1">
      <x v="8"/>
    </i>
    <i r="1">
      <x v="7"/>
    </i>
    <i>
      <x v="8"/>
    </i>
    <i r="1">
      <x v="12"/>
    </i>
    <i r="1">
      <x v="10"/>
    </i>
    <i>
      <x v="9"/>
    </i>
    <i r="1">
      <x v="14"/>
    </i>
    <i r="1">
      <x/>
    </i>
    <i>
      <x/>
    </i>
    <i r="1">
      <x v="1"/>
    </i>
    <i r="1">
      <x/>
    </i>
    <i t="grand">
      <x/>
    </i>
  </rowItems>
  <colFields count="1">
    <field x="-2"/>
  </colFields>
  <colItems count="3">
    <i>
      <x/>
    </i>
    <i i="1">
      <x v="1"/>
    </i>
    <i i="2">
      <x v="2"/>
    </i>
  </colItems>
  <dataFields count="3">
    <dataField name="К-ть користувачів" fld="0" subtotal="count" baseField="1" baseItem="0"/>
    <dataField name=" Сума, євро" fld="3" baseField="0" baseItem="0" numFmtId="164"/>
    <dataField name="Середній чек" fld="4" subtotal="average" baseField="1" baseItem="9" numFmtId="164"/>
  </dataFields>
  <formats count="2">
    <format dxfId="24">
      <pivotArea dataOnly="0" outline="0" fieldPosition="0">
        <references count="1">
          <reference field="4294967294" count="1">
            <x v="0"/>
          </reference>
        </references>
      </pivotArea>
    </format>
    <format dxfId="20">
      <pivotArea outline="0" fieldPosition="0">
        <references count="1">
          <reference field="4294967294" count="1">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Сума, євро2"/>
    <pivotHierarchy dragToData="1"/>
    <pivotHierarchy dragToData="1" caption="К-ть користувачів"/>
    <pivotHierarchy dragToData="1"/>
    <pivotHierarchy dragToData="1" caption="Середній чек"/>
    <pivotHierarchy dragToData="1"/>
    <pivotHierarchy dragToData="1"/>
    <pivotHierarchy dragToData="1"/>
  </pivotHierarchies>
  <pivotTableStyleInfo name="PivotStyleMedium9" showRowHeaders="1" showColHeaders="1" showRowStripes="1" showColStripes="1" showLastColumn="1"/>
  <rowHierarchiesUsage count="2">
    <rowHierarchyUsage hierarchyUsage="14"/>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_id]"/>
        <x15:activeTabTopLevelEntity name="[invoice]"/>
        <x15:activeTabTopLevelEntity name="[us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1F49F-606F-4ED7-A277-67021571302A}" name="PivotTable2" cacheId="545" applyNumberFormats="0" applyBorderFormats="0" applyFontFormats="0" applyPatternFormats="0" applyAlignmentFormats="0" applyWidthHeightFormats="1" dataCaption="Values" tag="6c249288-9b21-4c9e-be61-807709340b26" updatedVersion="8" minRefreshableVersion="3" useAutoFormatting="1" subtotalHiddenItems="1" itemPrintTitles="1" createdVersion="8" indent="0" outline="1" outlineData="1" multipleFieldFilters="0" rowHeaderCaption="Канал/Посада">
  <location ref="A3:D62" firstHeaderRow="0" firstDataRow="1" firstDataCol="1"/>
  <pivotFields count="5">
    <pivotField dataField="1" subtotalTop="0" showAll="0" defaultSubtotal="0"/>
    <pivotField axis="axisRow" allDrilled="1" showAll="0"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2">
    <field x="2"/>
    <field x="1"/>
  </rowFields>
  <rowItems count="59">
    <i>
      <x v="2"/>
    </i>
    <i r="1">
      <x v="3"/>
    </i>
    <i r="1">
      <x v="2"/>
    </i>
    <i r="1">
      <x v="6"/>
    </i>
    <i r="1">
      <x v="1"/>
    </i>
    <i r="1">
      <x v="9"/>
    </i>
    <i r="1">
      <x v="8"/>
    </i>
    <i r="1">
      <x v="7"/>
    </i>
    <i r="1">
      <x/>
    </i>
    <i r="1">
      <x v="11"/>
    </i>
    <i r="1">
      <x v="5"/>
    </i>
    <i r="1">
      <x v="10"/>
    </i>
    <i>
      <x v="4"/>
    </i>
    <i r="1">
      <x v="1"/>
    </i>
    <i r="1">
      <x v="6"/>
    </i>
    <i r="1">
      <x v="2"/>
    </i>
    <i r="1">
      <x v="14"/>
    </i>
    <i r="1">
      <x v="13"/>
    </i>
    <i r="1">
      <x v="11"/>
    </i>
    <i r="1">
      <x v="7"/>
    </i>
    <i r="1">
      <x v="9"/>
    </i>
    <i r="1">
      <x v="8"/>
    </i>
    <i r="1">
      <x v="3"/>
    </i>
    <i r="1">
      <x/>
    </i>
    <i r="1">
      <x v="12"/>
    </i>
    <i>
      <x v="5"/>
    </i>
    <i r="1">
      <x v="8"/>
    </i>
    <i r="1">
      <x v="4"/>
    </i>
    <i r="1">
      <x v="11"/>
    </i>
    <i r="1">
      <x v="14"/>
    </i>
    <i r="1">
      <x v="6"/>
    </i>
    <i r="1">
      <x v="2"/>
    </i>
    <i r="1">
      <x/>
    </i>
    <i r="1">
      <x v="12"/>
    </i>
    <i>
      <x/>
    </i>
    <i r="1">
      <x v="7"/>
    </i>
    <i r="1">
      <x v="5"/>
    </i>
    <i r="1">
      <x v="9"/>
    </i>
    <i r="1">
      <x v="1"/>
    </i>
    <i r="1">
      <x v="6"/>
    </i>
    <i r="1">
      <x v="2"/>
    </i>
    <i r="1">
      <x v="8"/>
    </i>
    <i r="1">
      <x v="3"/>
    </i>
    <i r="1">
      <x/>
    </i>
    <i r="1">
      <x v="4"/>
    </i>
    <i>
      <x v="3"/>
    </i>
    <i r="1">
      <x v="2"/>
    </i>
    <i r="1">
      <x v="4"/>
    </i>
    <i r="1">
      <x v="8"/>
    </i>
    <i r="1">
      <x v="7"/>
    </i>
    <i r="1">
      <x v="9"/>
    </i>
    <i r="1">
      <x v="1"/>
    </i>
    <i r="1">
      <x v="12"/>
    </i>
    <i>
      <x v="1"/>
    </i>
    <i r="1">
      <x v="9"/>
    </i>
    <i r="1">
      <x v="3"/>
    </i>
    <i r="1">
      <x v="8"/>
    </i>
    <i r="1">
      <x v="5"/>
    </i>
    <i t="grand">
      <x/>
    </i>
  </rowItems>
  <colFields count="1">
    <field x="-2"/>
  </colFields>
  <colItems count="3">
    <i>
      <x/>
    </i>
    <i i="1">
      <x v="1"/>
    </i>
    <i i="2">
      <x v="2"/>
    </i>
  </colItems>
  <dataFields count="3">
    <dataField name="К-ть користувачів" fld="0" subtotal="count" baseField="1" baseItem="0"/>
    <dataField name=" Сума, євро" fld="3" baseField="0" baseItem="0" numFmtId="164"/>
    <dataField name="Середній чек" fld="4" subtotal="average" baseField="1" baseItem="9" numFmtId="164"/>
  </dataFields>
  <formats count="2">
    <format dxfId="25">
      <pivotArea dataOnly="0" outline="0" fieldPosition="0">
        <references count="1">
          <reference field="4294967294" count="1">
            <x v="0"/>
          </reference>
        </references>
      </pivotArea>
    </format>
    <format dxfId="22">
      <pivotArea outline="0" fieldPosition="0">
        <references count="1">
          <reference field="4294967294" count="1">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Сума, євро2"/>
    <pivotHierarchy dragToData="1"/>
    <pivotHierarchy dragToData="1" caption="К-ть користувачів"/>
    <pivotHierarchy dragToData="1"/>
    <pivotHierarchy dragToData="1" caption="Середній чек"/>
    <pivotHierarchy dragToData="1"/>
    <pivotHierarchy dragToData="1"/>
    <pivotHierarchy dragToData="1"/>
  </pivotHierarchies>
  <pivotTableStyleInfo name="PivotStyleMedium9" showRowHeaders="1" showColHeaders="1" showRowStripes="1" showColStripes="1" showLastColumn="1"/>
  <rowHierarchiesUsage count="2">
    <rowHierarchyUsage hierarchyUsage="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_id]"/>
        <x15:activeTabTopLevelEntity name="[invoice]"/>
        <x15:activeTabTopLevelEntity name="[user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Рік_місяць" xr10:uid="{A6FED15D-B264-40EC-93DC-0FCD81579EF0}" sourceName="[users].[Рік_місяць]">
  <pivotTables>
    <pivotTable tabId="5" name="PivotTable2"/>
    <pivotTable tabId="5" name="PivotTable1"/>
  </pivotTables>
  <data>
    <olap pivotCacheId="785629358">
      <levels count="2">
        <level uniqueName="[users].[Рік_місяць].[(All)]" sourceCaption="(All)" count="0"/>
        <level uniqueName="[users].[Рік_місяць].[Рік_місяць]" sourceCaption="Рік_місяць" count="2">
          <ranges>
            <range startItem="0">
              <i n="[users].[Рік_місяць].&amp;[2025-05-01T00:00:00]" c="01.05.2025"/>
              <i n="[users].[Рік_місяць].&amp;[2025-06-01T00:00:00]" c="01.06.2025"/>
            </range>
          </ranges>
        </level>
      </levels>
      <selections count="1">
        <selection n="[users].[Рік_місяць].[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Прайс" xr10:uid="{E7566479-EE04-4855-BB0A-3DF1B7E042B3}" sourceName="[users].[Прайс]">
  <pivotTables>
    <pivotTable tabId="5" name="PivotTable2"/>
    <pivotTable tabId="5" name="PivotTable1"/>
  </pivotTables>
  <data>
    <olap pivotCacheId="785629358">
      <levels count="2">
        <level uniqueName="[users].[Прайс].[(All)]" sourceCaption="(All)" count="0"/>
        <level uniqueName="[users].[Прайс].[Прайс]" sourceCaption="Прайс" count="2">
          <ranges>
            <range startItem="0">
              <i n="[users].[Прайс].&amp;[ClientDay]" c="ClientDay"/>
              <i n="[users].[Прайс].&amp;[LIGA360]" c="LIGA360"/>
            </range>
          </ranges>
        </level>
      </levels>
      <selections count="1">
        <selection n="[users].[Прайс].[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Прайс1" xr10:uid="{41C1BCAC-41F2-4C62-81C0-AD778256FAA5}" sourceName="[invoice].[Прайс]">
  <pivotTables>
    <pivotTable tabId="5" name="PivotTable4"/>
  </pivotTables>
  <data>
    <olap pivotCacheId="1543574177">
      <levels count="2">
        <level uniqueName="[invoice].[Прайс].[(All)]" sourceCaption="(All)" count="0"/>
        <level uniqueName="[invoice].[Прайс].[Прайс]" sourceCaption="Прайс" count="2">
          <ranges>
            <range startItem="0">
              <i n="[invoice].[Прайс].&amp;[ClientDay]" c="ClientDay"/>
              <i n="[invoice].[Прайс].&amp;[LIGA360]" c="LIGA360"/>
            </range>
          </ranges>
        </level>
      </levels>
      <selections count="1">
        <selection n="[invoice].[Прайс].[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Рік_місяць1" xr10:uid="{60DAAD9D-7405-4789-9CFD-AA75549D0A2B}" sourceName="[invoice].[Рік_місяць]">
  <pivotTables>
    <pivotTable tabId="5" name="PivotTable4"/>
  </pivotTables>
  <data>
    <olap pivotCacheId="1543574177">
      <levels count="2">
        <level uniqueName="[invoice].[Рік_місяць].[(All)]" sourceCaption="(All)" count="0"/>
        <level uniqueName="[invoice].[Рік_місяць].[Рік_місяць]" sourceCaption="Рік_місяць" count="2">
          <ranges>
            <range startItem="0">
              <i n="[invoice].[Рік_місяць].&amp;[2025-05-01T00:00:00]" c="01.05.2025"/>
              <i n="[invoice].[Рік_місяць].&amp;[2025-06-01T00:00:00]" c="01.06.2025"/>
            </range>
          </ranges>
        </level>
      </levels>
      <selections count="1">
        <selection n="[invoice].[Рік_місяць].[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Рік_місяць" xr10:uid="{C70B3A83-859C-4FC0-96D5-AAABAF6BED5F}" cache="Slicer_Рік_місяць" caption="Рік_місяць" level="1" rowHeight="257175"/>
  <slicer name="Прайс" xr10:uid="{6B016B72-7ADE-4F0F-A9CF-503ACDECF999}" cache="Slicer_Прайс" caption="Прайс" level="1" rowHeight="257175"/>
  <slicer name="Прайс 1" xr10:uid="{10144769-E1BE-4C7E-ADE5-F1CE337A2F41}" cache="Slicer_Прайс1" caption="Прайс" level="1" rowHeight="257175"/>
  <slicer name="Рік_місяць 1" xr10:uid="{AC0EEA77-A328-4E2E-8057-D1E903439EB7}" cache="Slicer_Рік_місяць1" caption="Рік_місяць"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AA1EAE-DE90-4956-B79C-452188961CA0}" name="Table1" displayName="Table1" ref="A1:D82" totalsRowShown="0" headerRowDxfId="71" dataDxfId="69" headerRowBorderDxfId="70" tableBorderDxfId="68">
  <tableColumns count="4">
    <tableColumn id="1" xr3:uid="{D4FC52DD-D1EE-4485-8531-CC83C7EF731E}" name="ID" dataDxfId="67"/>
    <tableColumn id="2" xr3:uid="{D3B7C18A-5392-4E53-BE5B-2721181C1D40}" name="Клієнт" dataDxfId="66"/>
    <tableColumn id="3" xr3:uid="{DEA95D4D-FB23-43FF-9D5A-B10C714B4EEE}" name="Логін" dataDxfId="65"/>
    <tableColumn id="4" xr3:uid="{96DBC26A-A540-4466-B7E0-422306F12629}" name="Посада"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6C5F51-8480-4C03-80A7-0CCB2C8C729D}" name="Table2" displayName="Table2" ref="A1:H61" totalsRowShown="0" headerRowDxfId="63" dataDxfId="62" tableBorderDxfId="61">
  <autoFilter ref="A1:H61" xr:uid="{E96C5F51-8480-4C03-80A7-0CCB2C8C729D}"/>
  <tableColumns count="8">
    <tableColumn id="1" xr3:uid="{EC6FEB36-C3E2-48DA-A42C-E51C72334181}" name="Канал продажу" dataDxfId="60"/>
    <tableColumn id="2" xr3:uid="{923986BB-471C-45DE-B460-8A0AF6F4AEBC}" name="ID" dataDxfId="59"/>
    <tableColumn id="3" xr3:uid="{3FD7C098-1494-45B3-895F-9E0C32039980}" name="Клієнт" dataDxfId="58"/>
    <tableColumn id="4" xr3:uid="{AD3B0536-3753-4E50-B0A2-12DEC616B906}" name="Прайс" dataDxfId="57"/>
    <tableColumn id="5" xr3:uid="{B04E175E-FC9D-4123-99C3-7ED02CD49958}" name="Номер рахунку" dataDxfId="56"/>
    <tableColumn id="6" xr3:uid="{F4389F6B-AED6-4176-986B-358C3F14574B}" name="Рік_місяць" dataDxfId="55"/>
    <tableColumn id="7" xr3:uid="{BA41977E-88FC-4B84-A083-08AE2BB6786D}" name="Сегмент" dataDxfId="54"/>
    <tableColumn id="8" xr3:uid="{E105658C-C586-4519-9363-ABB8C924B574}" name="Сума, євро" dataDxfId="53"/>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3" Type="http://schemas.openxmlformats.org/officeDocument/2006/relationships/hyperlink" Target="mailto:126@mail.com" TargetMode="External"/><Relationship Id="rId18" Type="http://schemas.openxmlformats.org/officeDocument/2006/relationships/hyperlink" Target="mailto:128@mail.com" TargetMode="External"/><Relationship Id="rId26" Type="http://schemas.openxmlformats.org/officeDocument/2006/relationships/hyperlink" Target="mailto:134@mail.com" TargetMode="External"/><Relationship Id="rId39" Type="http://schemas.openxmlformats.org/officeDocument/2006/relationships/hyperlink" Target="mailto:147@mail.com" TargetMode="External"/><Relationship Id="rId21" Type="http://schemas.openxmlformats.org/officeDocument/2006/relationships/hyperlink" Target="mailto:130@mail.com" TargetMode="External"/><Relationship Id="rId34" Type="http://schemas.openxmlformats.org/officeDocument/2006/relationships/hyperlink" Target="mailto:142@mail.com" TargetMode="External"/><Relationship Id="rId42" Type="http://schemas.openxmlformats.org/officeDocument/2006/relationships/hyperlink" Target="mailto:150@mail.com" TargetMode="External"/><Relationship Id="rId47" Type="http://schemas.openxmlformats.org/officeDocument/2006/relationships/hyperlink" Target="mailto:155@mail.com" TargetMode="External"/><Relationship Id="rId50" Type="http://schemas.openxmlformats.org/officeDocument/2006/relationships/hyperlink" Target="mailto:158@mail.com" TargetMode="External"/><Relationship Id="rId55" Type="http://schemas.openxmlformats.org/officeDocument/2006/relationships/hyperlink" Target="mailto:163@mail.com" TargetMode="External"/><Relationship Id="rId63" Type="http://schemas.openxmlformats.org/officeDocument/2006/relationships/table" Target="../tables/table1.xml"/><Relationship Id="rId7" Type="http://schemas.openxmlformats.org/officeDocument/2006/relationships/hyperlink" Target="mailto:120@mail.com" TargetMode="External"/><Relationship Id="rId2" Type="http://schemas.openxmlformats.org/officeDocument/2006/relationships/hyperlink" Target="mailto:115@mail.com" TargetMode="External"/><Relationship Id="rId16" Type="http://schemas.openxmlformats.org/officeDocument/2006/relationships/hyperlink" Target="mailto:127@mail.com" TargetMode="External"/><Relationship Id="rId20" Type="http://schemas.openxmlformats.org/officeDocument/2006/relationships/hyperlink" Target="mailto:129@mail.com" TargetMode="External"/><Relationship Id="rId29" Type="http://schemas.openxmlformats.org/officeDocument/2006/relationships/hyperlink" Target="mailto:137@mail.com" TargetMode="External"/><Relationship Id="rId41" Type="http://schemas.openxmlformats.org/officeDocument/2006/relationships/hyperlink" Target="mailto:149@mail.com" TargetMode="External"/><Relationship Id="rId54" Type="http://schemas.openxmlformats.org/officeDocument/2006/relationships/hyperlink" Target="mailto:162@mail.com" TargetMode="External"/><Relationship Id="rId62" Type="http://schemas.openxmlformats.org/officeDocument/2006/relationships/hyperlink" Target="mailto:170@mail.com" TargetMode="External"/><Relationship Id="rId1" Type="http://schemas.openxmlformats.org/officeDocument/2006/relationships/hyperlink" Target="mailto:115@mail.com" TargetMode="External"/><Relationship Id="rId6" Type="http://schemas.openxmlformats.org/officeDocument/2006/relationships/hyperlink" Target="mailto:119@mail.com" TargetMode="External"/><Relationship Id="rId11" Type="http://schemas.openxmlformats.org/officeDocument/2006/relationships/hyperlink" Target="mailto:124@mail.com" TargetMode="External"/><Relationship Id="rId24" Type="http://schemas.openxmlformats.org/officeDocument/2006/relationships/hyperlink" Target="mailto:132@mail.com" TargetMode="External"/><Relationship Id="rId32" Type="http://schemas.openxmlformats.org/officeDocument/2006/relationships/hyperlink" Target="mailto:140@mail.com" TargetMode="External"/><Relationship Id="rId37" Type="http://schemas.openxmlformats.org/officeDocument/2006/relationships/hyperlink" Target="mailto:145@mail.com" TargetMode="External"/><Relationship Id="rId40" Type="http://schemas.openxmlformats.org/officeDocument/2006/relationships/hyperlink" Target="mailto:148@mail.com" TargetMode="External"/><Relationship Id="rId45" Type="http://schemas.openxmlformats.org/officeDocument/2006/relationships/hyperlink" Target="mailto:153@mail.com" TargetMode="External"/><Relationship Id="rId53" Type="http://schemas.openxmlformats.org/officeDocument/2006/relationships/hyperlink" Target="mailto:161@mail.com" TargetMode="External"/><Relationship Id="rId58" Type="http://schemas.openxmlformats.org/officeDocument/2006/relationships/hyperlink" Target="mailto:166@mail.com" TargetMode="External"/><Relationship Id="rId5" Type="http://schemas.openxmlformats.org/officeDocument/2006/relationships/hyperlink" Target="mailto:118@mail.com" TargetMode="External"/><Relationship Id="rId15" Type="http://schemas.openxmlformats.org/officeDocument/2006/relationships/hyperlink" Target="mailto:127@mail.com" TargetMode="External"/><Relationship Id="rId23" Type="http://schemas.openxmlformats.org/officeDocument/2006/relationships/hyperlink" Target="mailto:131@mail.com" TargetMode="External"/><Relationship Id="rId28" Type="http://schemas.openxmlformats.org/officeDocument/2006/relationships/hyperlink" Target="mailto:136@mail.com" TargetMode="External"/><Relationship Id="rId36" Type="http://schemas.openxmlformats.org/officeDocument/2006/relationships/hyperlink" Target="mailto:144@mail.com" TargetMode="External"/><Relationship Id="rId49" Type="http://schemas.openxmlformats.org/officeDocument/2006/relationships/hyperlink" Target="mailto:157@mail.com" TargetMode="External"/><Relationship Id="rId57" Type="http://schemas.openxmlformats.org/officeDocument/2006/relationships/hyperlink" Target="mailto:165@mail.com" TargetMode="External"/><Relationship Id="rId61" Type="http://schemas.openxmlformats.org/officeDocument/2006/relationships/hyperlink" Target="mailto:169@mail.com" TargetMode="External"/><Relationship Id="rId10" Type="http://schemas.openxmlformats.org/officeDocument/2006/relationships/hyperlink" Target="mailto:123@mail.com" TargetMode="External"/><Relationship Id="rId19" Type="http://schemas.openxmlformats.org/officeDocument/2006/relationships/hyperlink" Target="mailto:129@mail.com" TargetMode="External"/><Relationship Id="rId31" Type="http://schemas.openxmlformats.org/officeDocument/2006/relationships/hyperlink" Target="mailto:139@mail.com" TargetMode="External"/><Relationship Id="rId44" Type="http://schemas.openxmlformats.org/officeDocument/2006/relationships/hyperlink" Target="mailto:152@mail.com" TargetMode="External"/><Relationship Id="rId52" Type="http://schemas.openxmlformats.org/officeDocument/2006/relationships/hyperlink" Target="mailto:160@mail.com" TargetMode="External"/><Relationship Id="rId60" Type="http://schemas.openxmlformats.org/officeDocument/2006/relationships/hyperlink" Target="mailto:168@mail.com" TargetMode="External"/><Relationship Id="rId4" Type="http://schemas.openxmlformats.org/officeDocument/2006/relationships/hyperlink" Target="mailto:117@mail.com" TargetMode="External"/><Relationship Id="rId9" Type="http://schemas.openxmlformats.org/officeDocument/2006/relationships/hyperlink" Target="mailto:122@mail.com" TargetMode="External"/><Relationship Id="rId14" Type="http://schemas.openxmlformats.org/officeDocument/2006/relationships/hyperlink" Target="mailto:126@mail.com" TargetMode="External"/><Relationship Id="rId22" Type="http://schemas.openxmlformats.org/officeDocument/2006/relationships/hyperlink" Target="mailto:130@mail.com" TargetMode="External"/><Relationship Id="rId27" Type="http://schemas.openxmlformats.org/officeDocument/2006/relationships/hyperlink" Target="mailto:135@mail.com" TargetMode="External"/><Relationship Id="rId30" Type="http://schemas.openxmlformats.org/officeDocument/2006/relationships/hyperlink" Target="mailto:138@mail.com" TargetMode="External"/><Relationship Id="rId35" Type="http://schemas.openxmlformats.org/officeDocument/2006/relationships/hyperlink" Target="mailto:143@mail.com" TargetMode="External"/><Relationship Id="rId43" Type="http://schemas.openxmlformats.org/officeDocument/2006/relationships/hyperlink" Target="mailto:151@mail.com" TargetMode="External"/><Relationship Id="rId48" Type="http://schemas.openxmlformats.org/officeDocument/2006/relationships/hyperlink" Target="mailto:156@mail.com" TargetMode="External"/><Relationship Id="rId56" Type="http://schemas.openxmlformats.org/officeDocument/2006/relationships/hyperlink" Target="mailto:164@mail.com" TargetMode="External"/><Relationship Id="rId8" Type="http://schemas.openxmlformats.org/officeDocument/2006/relationships/hyperlink" Target="mailto:121@mail.com" TargetMode="External"/><Relationship Id="rId51" Type="http://schemas.openxmlformats.org/officeDocument/2006/relationships/hyperlink" Target="mailto:159@mail.com" TargetMode="External"/><Relationship Id="rId3" Type="http://schemas.openxmlformats.org/officeDocument/2006/relationships/hyperlink" Target="mailto:116@mail.com" TargetMode="External"/><Relationship Id="rId12" Type="http://schemas.openxmlformats.org/officeDocument/2006/relationships/hyperlink" Target="mailto:125@mail.com" TargetMode="External"/><Relationship Id="rId17" Type="http://schemas.openxmlformats.org/officeDocument/2006/relationships/hyperlink" Target="mailto:128@mail.com" TargetMode="External"/><Relationship Id="rId25" Type="http://schemas.openxmlformats.org/officeDocument/2006/relationships/hyperlink" Target="mailto:133@mail.com" TargetMode="External"/><Relationship Id="rId33" Type="http://schemas.openxmlformats.org/officeDocument/2006/relationships/hyperlink" Target="mailto:141@mail.com" TargetMode="External"/><Relationship Id="rId38" Type="http://schemas.openxmlformats.org/officeDocument/2006/relationships/hyperlink" Target="mailto:146@mail.com" TargetMode="External"/><Relationship Id="rId46" Type="http://schemas.openxmlformats.org/officeDocument/2006/relationships/hyperlink" Target="mailto:154@mail.com" TargetMode="External"/><Relationship Id="rId59" Type="http://schemas.openxmlformats.org/officeDocument/2006/relationships/hyperlink" Target="mailto:167@mail.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B560-5EE5-49F9-975C-FF0C65E8DCEA}">
  <sheetPr>
    <tabColor theme="6" tint="0.59999389629810485"/>
  </sheetPr>
  <dimension ref="A1:B16"/>
  <sheetViews>
    <sheetView workbookViewId="0">
      <selection activeCell="B22" sqref="B22"/>
    </sheetView>
  </sheetViews>
  <sheetFormatPr defaultColWidth="8.85546875" defaultRowHeight="15.75" x14ac:dyDescent="0.25"/>
  <cols>
    <col min="1" max="1" width="23.5703125" style="7" customWidth="1"/>
    <col min="2" max="2" width="109.7109375" style="7" customWidth="1"/>
    <col min="3" max="16384" width="8.85546875" style="1"/>
  </cols>
  <sheetData>
    <row r="1" spans="1:2" ht="21" x14ac:dyDescent="0.25">
      <c r="A1" s="22" t="s">
        <v>0</v>
      </c>
      <c r="B1" s="22"/>
    </row>
    <row r="2" spans="1:2" x14ac:dyDescent="0.25">
      <c r="A2" s="5"/>
      <c r="B2" s="5"/>
    </row>
    <row r="3" spans="1:2" x14ac:dyDescent="0.25">
      <c r="A3" s="6" t="s">
        <v>1</v>
      </c>
      <c r="B3" s="5" t="s">
        <v>2</v>
      </c>
    </row>
    <row r="4" spans="1:2" x14ac:dyDescent="0.25">
      <c r="A4" s="6"/>
      <c r="B4" s="5"/>
    </row>
    <row r="5" spans="1:2" x14ac:dyDescent="0.25">
      <c r="A5" s="6" t="s">
        <v>3</v>
      </c>
      <c r="B5" s="5"/>
    </row>
    <row r="6" spans="1:2" x14ac:dyDescent="0.25">
      <c r="A6" s="10" t="s">
        <v>4</v>
      </c>
      <c r="B6" s="5" t="s">
        <v>5</v>
      </c>
    </row>
    <row r="7" spans="1:2" ht="18" customHeight="1" x14ac:dyDescent="0.25">
      <c r="A7" s="11" t="s">
        <v>6</v>
      </c>
      <c r="B7" s="5" t="s">
        <v>7</v>
      </c>
    </row>
    <row r="8" spans="1:2" ht="18" customHeight="1" x14ac:dyDescent="0.25">
      <c r="A8" s="8"/>
      <c r="B8" s="5"/>
    </row>
    <row r="9" spans="1:2" ht="31.5" x14ac:dyDescent="0.25">
      <c r="A9" s="6" t="s">
        <v>8</v>
      </c>
      <c r="B9" s="5" t="s">
        <v>9</v>
      </c>
    </row>
    <row r="10" spans="1:2" x14ac:dyDescent="0.25">
      <c r="A10" s="6"/>
      <c r="B10" s="5"/>
    </row>
    <row r="11" spans="1:2" ht="30.6" customHeight="1" x14ac:dyDescent="0.25">
      <c r="A11" s="21" t="s">
        <v>10</v>
      </c>
      <c r="B11" s="5" t="s">
        <v>11</v>
      </c>
    </row>
    <row r="12" spans="1:2" ht="32.450000000000003" customHeight="1" x14ac:dyDescent="0.25">
      <c r="A12" s="21"/>
      <c r="B12" s="5" t="s">
        <v>12</v>
      </c>
    </row>
    <row r="13" spans="1:2" ht="32.450000000000003" customHeight="1" x14ac:dyDescent="0.25">
      <c r="A13" s="21" t="s">
        <v>13</v>
      </c>
      <c r="B13" s="12" t="s">
        <v>14</v>
      </c>
    </row>
    <row r="14" spans="1:2" ht="32.450000000000003" customHeight="1" x14ac:dyDescent="0.25">
      <c r="A14" s="21"/>
      <c r="B14" s="5" t="s">
        <v>15</v>
      </c>
    </row>
    <row r="15" spans="1:2" x14ac:dyDescent="0.25">
      <c r="A15" s="6"/>
      <c r="B15" s="5"/>
    </row>
    <row r="16" spans="1:2" ht="47.25" x14ac:dyDescent="0.25">
      <c r="A16" s="9" t="s">
        <v>16</v>
      </c>
      <c r="B16" s="5" t="s">
        <v>17</v>
      </c>
    </row>
  </sheetData>
  <mergeCells count="3">
    <mergeCell ref="A13:A14"/>
    <mergeCell ref="A11:A1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3C09-8FB9-4E12-8325-EEE1C1D6EF67}">
  <dimension ref="A1:P65"/>
  <sheetViews>
    <sheetView tabSelected="1" workbookViewId="0">
      <selection activeCell="F30" sqref="F30"/>
    </sheetView>
  </sheetViews>
  <sheetFormatPr defaultRowHeight="15" x14ac:dyDescent="0.25"/>
  <cols>
    <col min="1" max="1" width="42.7109375" bestFit="1" customWidth="1"/>
    <col min="2" max="2" width="17.42578125" bestFit="1" customWidth="1"/>
    <col min="3" max="3" width="11.5703125" bestFit="1" customWidth="1"/>
    <col min="4" max="4" width="13.85546875" bestFit="1" customWidth="1"/>
    <col min="5" max="5" width="8.28515625" customWidth="1"/>
    <col min="6" max="6" width="11" customWidth="1"/>
    <col min="8" max="8" width="42.7109375" bestFit="1" customWidth="1"/>
    <col min="9" max="9" width="17.42578125" bestFit="1" customWidth="1"/>
    <col min="10" max="10" width="11.5703125" bestFit="1" customWidth="1"/>
    <col min="11" max="11" width="13.85546875" bestFit="1" customWidth="1"/>
    <col min="13" max="13" width="31.28515625" bestFit="1" customWidth="1"/>
    <col min="14" max="14" width="12.28515625" bestFit="1" customWidth="1"/>
    <col min="15" max="15" width="11.140625" bestFit="1" customWidth="1"/>
    <col min="16" max="16" width="18.42578125" bestFit="1" customWidth="1"/>
  </cols>
  <sheetData>
    <row r="1" spans="1:16" x14ac:dyDescent="0.25">
      <c r="A1" t="s">
        <v>192</v>
      </c>
    </row>
    <row r="2" spans="1:16" ht="18.75" x14ac:dyDescent="0.3">
      <c r="A2" s="27" t="s">
        <v>190</v>
      </c>
      <c r="B2" s="27"/>
      <c r="C2" s="27"/>
      <c r="D2" s="27"/>
      <c r="H2" s="27" t="s">
        <v>191</v>
      </c>
      <c r="I2" s="27"/>
      <c r="J2" s="27"/>
      <c r="K2" s="27"/>
      <c r="M2" s="28" t="s">
        <v>193</v>
      </c>
      <c r="N2" s="28"/>
      <c r="O2" s="28"/>
      <c r="P2" s="28"/>
    </row>
    <row r="3" spans="1:16" x14ac:dyDescent="0.25">
      <c r="A3" s="18" t="s">
        <v>188</v>
      </c>
      <c r="B3" s="25" t="s">
        <v>185</v>
      </c>
      <c r="C3" t="s">
        <v>186</v>
      </c>
      <c r="D3" t="s">
        <v>187</v>
      </c>
      <c r="H3" s="18" t="s">
        <v>189</v>
      </c>
      <c r="I3" s="25" t="s">
        <v>185</v>
      </c>
      <c r="J3" t="s">
        <v>186</v>
      </c>
      <c r="K3" t="s">
        <v>187</v>
      </c>
      <c r="M3" s="18" t="s">
        <v>194</v>
      </c>
      <c r="N3" t="s">
        <v>195</v>
      </c>
      <c r="O3" t="s">
        <v>186</v>
      </c>
      <c r="P3" t="s">
        <v>196</v>
      </c>
    </row>
    <row r="4" spans="1:16" x14ac:dyDescent="0.25">
      <c r="A4" s="19" t="s">
        <v>163</v>
      </c>
      <c r="B4" s="26">
        <v>31</v>
      </c>
      <c r="C4" s="24">
        <v>6629.4</v>
      </c>
      <c r="D4" s="24">
        <v>213.8516129032258</v>
      </c>
      <c r="E4" s="24"/>
      <c r="F4" s="24"/>
      <c r="H4" s="19" t="s">
        <v>175</v>
      </c>
      <c r="I4" s="26">
        <v>23</v>
      </c>
      <c r="J4" s="24">
        <v>3530.6</v>
      </c>
      <c r="K4" s="24">
        <v>153.50434782608696</v>
      </c>
      <c r="M4" s="19" t="s">
        <v>163</v>
      </c>
      <c r="N4" s="23">
        <v>25</v>
      </c>
      <c r="O4" s="23">
        <v>3327.4</v>
      </c>
      <c r="P4" s="23">
        <v>133.096</v>
      </c>
    </row>
    <row r="5" spans="1:16" x14ac:dyDescent="0.25">
      <c r="A5" s="20" t="s">
        <v>26</v>
      </c>
      <c r="B5" s="26">
        <v>8</v>
      </c>
      <c r="C5" s="24">
        <v>1574.8</v>
      </c>
      <c r="D5" s="24">
        <v>196.85</v>
      </c>
      <c r="E5" s="24"/>
      <c r="F5" s="24"/>
      <c r="H5" s="20" t="s">
        <v>26</v>
      </c>
      <c r="I5" s="26">
        <v>6</v>
      </c>
      <c r="J5" s="24">
        <v>863.6</v>
      </c>
      <c r="K5" s="24">
        <v>143.93333333333334</v>
      </c>
      <c r="M5" s="19" t="s">
        <v>174</v>
      </c>
      <c r="N5" s="23">
        <v>8</v>
      </c>
      <c r="O5" s="24">
        <v>1016</v>
      </c>
      <c r="P5" s="24">
        <v>127</v>
      </c>
    </row>
    <row r="6" spans="1:16" x14ac:dyDescent="0.25">
      <c r="A6" s="20" t="s">
        <v>27</v>
      </c>
      <c r="B6" s="26">
        <v>4</v>
      </c>
      <c r="C6" s="24">
        <v>914.4</v>
      </c>
      <c r="D6" s="24">
        <v>228.6</v>
      </c>
      <c r="E6" s="24"/>
      <c r="F6" s="24"/>
      <c r="H6" s="20" t="s">
        <v>24</v>
      </c>
      <c r="I6" s="26">
        <v>4</v>
      </c>
      <c r="J6" s="24">
        <v>838.2</v>
      </c>
      <c r="K6" s="24">
        <v>209.55</v>
      </c>
      <c r="M6" s="19" t="s">
        <v>172</v>
      </c>
      <c r="N6" s="23">
        <v>8</v>
      </c>
      <c r="O6" s="23">
        <v>1752.6</v>
      </c>
      <c r="P6" s="23">
        <v>219.07499999999999</v>
      </c>
    </row>
    <row r="7" spans="1:16" x14ac:dyDescent="0.25">
      <c r="A7" s="20" t="s">
        <v>28</v>
      </c>
      <c r="B7" s="26">
        <v>4</v>
      </c>
      <c r="C7" s="24">
        <v>914.4</v>
      </c>
      <c r="D7" s="24">
        <v>228.6</v>
      </c>
      <c r="E7" s="24"/>
      <c r="F7" s="24"/>
      <c r="H7" s="20" t="s">
        <v>28</v>
      </c>
      <c r="I7" s="26">
        <v>3</v>
      </c>
      <c r="J7" s="24">
        <v>330.2</v>
      </c>
      <c r="K7" s="24">
        <v>110.06666666666666</v>
      </c>
      <c r="M7" s="19" t="s">
        <v>169</v>
      </c>
      <c r="N7" s="23">
        <v>8</v>
      </c>
      <c r="O7" s="23">
        <v>1016</v>
      </c>
      <c r="P7" s="23">
        <v>127</v>
      </c>
    </row>
    <row r="8" spans="1:16" x14ac:dyDescent="0.25">
      <c r="A8" s="20" t="s">
        <v>24</v>
      </c>
      <c r="B8" s="26">
        <v>4</v>
      </c>
      <c r="C8" s="24">
        <v>1219.2</v>
      </c>
      <c r="D8" s="24">
        <v>304.8</v>
      </c>
      <c r="E8" s="24"/>
      <c r="F8" s="24"/>
      <c r="H8" s="20" t="s">
        <v>27</v>
      </c>
      <c r="I8" s="26">
        <v>3</v>
      </c>
      <c r="J8" s="24">
        <v>279.39999999999998</v>
      </c>
      <c r="K8" s="24">
        <v>93.133333333333326</v>
      </c>
      <c r="M8" s="19" t="s">
        <v>180</v>
      </c>
      <c r="N8" s="23">
        <v>6</v>
      </c>
      <c r="O8" s="23">
        <v>457.2</v>
      </c>
      <c r="P8" s="23">
        <v>76.2</v>
      </c>
    </row>
    <row r="9" spans="1:16" x14ac:dyDescent="0.25">
      <c r="A9" s="20" t="s">
        <v>25</v>
      </c>
      <c r="B9" s="26">
        <v>4</v>
      </c>
      <c r="C9" s="24">
        <v>965.2</v>
      </c>
      <c r="D9" s="24">
        <v>241.3</v>
      </c>
      <c r="E9" s="24"/>
      <c r="F9" s="24"/>
      <c r="H9" s="20" t="s">
        <v>31</v>
      </c>
      <c r="I9" s="26">
        <v>2</v>
      </c>
      <c r="J9" s="24">
        <v>254</v>
      </c>
      <c r="K9" s="24">
        <v>127</v>
      </c>
      <c r="M9" s="19" t="s">
        <v>170</v>
      </c>
      <c r="N9" s="23">
        <v>5</v>
      </c>
      <c r="O9" s="23">
        <v>736.6</v>
      </c>
      <c r="P9" s="23">
        <v>147.32</v>
      </c>
    </row>
    <row r="10" spans="1:16" x14ac:dyDescent="0.25">
      <c r="A10" s="20" t="s">
        <v>31</v>
      </c>
      <c r="B10" s="26">
        <v>2</v>
      </c>
      <c r="C10" s="24">
        <v>203.2</v>
      </c>
      <c r="D10" s="24">
        <v>101.6</v>
      </c>
      <c r="E10" s="24"/>
      <c r="F10" s="24"/>
      <c r="H10" s="20" t="s">
        <v>25</v>
      </c>
      <c r="I10" s="26">
        <v>2</v>
      </c>
      <c r="J10" s="24">
        <v>381</v>
      </c>
      <c r="K10" s="24">
        <v>190.5</v>
      </c>
      <c r="M10" s="19" t="s">
        <v>183</v>
      </c>
      <c r="N10" s="23">
        <v>60</v>
      </c>
      <c r="O10" s="23">
        <v>8305.7999999999993</v>
      </c>
      <c r="P10" s="23">
        <v>138.42999999999998</v>
      </c>
    </row>
    <row r="11" spans="1:16" x14ac:dyDescent="0.25">
      <c r="A11" s="20" t="s">
        <v>40</v>
      </c>
      <c r="B11" s="26">
        <v>1</v>
      </c>
      <c r="C11" s="24">
        <v>127</v>
      </c>
      <c r="D11" s="24">
        <v>127</v>
      </c>
      <c r="E11" s="24"/>
      <c r="F11" s="24"/>
      <c r="H11" s="20" t="s">
        <v>44</v>
      </c>
      <c r="I11" s="26">
        <v>1</v>
      </c>
      <c r="J11" s="24">
        <v>381</v>
      </c>
      <c r="K11" s="24">
        <v>381</v>
      </c>
    </row>
    <row r="12" spans="1:16" x14ac:dyDescent="0.25">
      <c r="A12" s="20" t="s">
        <v>35</v>
      </c>
      <c r="B12" s="26">
        <v>1</v>
      </c>
      <c r="C12" s="24">
        <v>127</v>
      </c>
      <c r="D12" s="24">
        <v>127</v>
      </c>
      <c r="E12" s="24"/>
      <c r="F12" s="24"/>
      <c r="H12" s="20" t="s">
        <v>35</v>
      </c>
      <c r="I12" s="26">
        <v>1</v>
      </c>
      <c r="J12" s="24">
        <v>127</v>
      </c>
      <c r="K12" s="24">
        <v>127</v>
      </c>
    </row>
    <row r="13" spans="1:16" x14ac:dyDescent="0.25">
      <c r="A13" s="20" t="s">
        <v>44</v>
      </c>
      <c r="B13" s="26">
        <v>1</v>
      </c>
      <c r="C13" s="24">
        <v>381</v>
      </c>
      <c r="D13" s="24">
        <v>381</v>
      </c>
      <c r="E13" s="24"/>
      <c r="F13" s="24"/>
      <c r="H13" s="20" t="s">
        <v>184</v>
      </c>
      <c r="I13" s="26">
        <v>1</v>
      </c>
      <c r="J13" s="24">
        <v>76.2</v>
      </c>
      <c r="K13" s="24">
        <v>76.2</v>
      </c>
    </row>
    <row r="14" spans="1:16" x14ac:dyDescent="0.25">
      <c r="A14" s="20" t="s">
        <v>34</v>
      </c>
      <c r="B14" s="26">
        <v>1</v>
      </c>
      <c r="C14" s="24">
        <v>127</v>
      </c>
      <c r="D14" s="24">
        <v>127</v>
      </c>
      <c r="E14" s="24"/>
      <c r="F14" s="24"/>
      <c r="H14" s="19" t="s">
        <v>173</v>
      </c>
      <c r="I14" s="26">
        <v>14</v>
      </c>
      <c r="J14" s="24">
        <v>6858</v>
      </c>
      <c r="K14" s="24">
        <v>489.85714285714283</v>
      </c>
    </row>
    <row r="15" spans="1:16" x14ac:dyDescent="0.25">
      <c r="A15" s="20" t="s">
        <v>80</v>
      </c>
      <c r="B15" s="26">
        <v>1</v>
      </c>
      <c r="C15" s="24">
        <v>76.2</v>
      </c>
      <c r="D15" s="24">
        <v>76.2</v>
      </c>
      <c r="E15" s="24"/>
      <c r="F15" s="24"/>
      <c r="H15" s="20" t="s">
        <v>27</v>
      </c>
      <c r="I15" s="26">
        <v>4</v>
      </c>
      <c r="J15" s="24">
        <v>1168.4000000000001</v>
      </c>
      <c r="K15" s="24">
        <v>292.10000000000002</v>
      </c>
    </row>
    <row r="16" spans="1:16" x14ac:dyDescent="0.25">
      <c r="A16" s="19" t="s">
        <v>172</v>
      </c>
      <c r="B16" s="26">
        <v>15</v>
      </c>
      <c r="C16" s="24">
        <v>7340.6</v>
      </c>
      <c r="D16" s="24">
        <v>489.37333333333333</v>
      </c>
      <c r="E16" s="24"/>
      <c r="F16" s="24"/>
      <c r="H16" s="20" t="s">
        <v>31</v>
      </c>
      <c r="I16" s="26">
        <v>2</v>
      </c>
      <c r="J16" s="24">
        <v>203.2</v>
      </c>
      <c r="K16" s="24">
        <v>101.6</v>
      </c>
    </row>
    <row r="17" spans="1:16" ht="18.75" x14ac:dyDescent="0.3">
      <c r="A17" s="20" t="s">
        <v>24</v>
      </c>
      <c r="B17" s="26">
        <v>2</v>
      </c>
      <c r="C17" s="24">
        <v>1143</v>
      </c>
      <c r="D17" s="24">
        <v>571.5</v>
      </c>
      <c r="E17" s="24"/>
      <c r="F17" s="24"/>
      <c r="H17" s="20" t="s">
        <v>184</v>
      </c>
      <c r="I17" s="26">
        <v>1</v>
      </c>
      <c r="J17" s="24">
        <v>889</v>
      </c>
      <c r="K17" s="24">
        <v>889</v>
      </c>
      <c r="M17" s="28" t="s">
        <v>193</v>
      </c>
      <c r="N17" s="28"/>
      <c r="O17" s="28"/>
      <c r="P17" s="28"/>
    </row>
    <row r="18" spans="1:16" x14ac:dyDescent="0.25">
      <c r="A18" s="20" t="s">
        <v>28</v>
      </c>
      <c r="B18" s="26">
        <v>2</v>
      </c>
      <c r="C18" s="24">
        <v>203.2</v>
      </c>
      <c r="D18" s="24">
        <v>101.6</v>
      </c>
      <c r="E18" s="24"/>
      <c r="F18" s="24"/>
      <c r="H18" s="20" t="s">
        <v>43</v>
      </c>
      <c r="I18" s="26">
        <v>1</v>
      </c>
      <c r="J18" s="24">
        <v>889</v>
      </c>
      <c r="K18" s="24">
        <v>889</v>
      </c>
      <c r="M18" s="18" t="s">
        <v>194</v>
      </c>
      <c r="N18" t="s">
        <v>195</v>
      </c>
      <c r="O18" t="s">
        <v>186</v>
      </c>
      <c r="P18" t="s">
        <v>196</v>
      </c>
    </row>
    <row r="19" spans="1:16" x14ac:dyDescent="0.25">
      <c r="A19" s="20" t="s">
        <v>27</v>
      </c>
      <c r="B19" s="26">
        <v>2</v>
      </c>
      <c r="C19" s="24">
        <v>1016</v>
      </c>
      <c r="D19" s="24">
        <v>508</v>
      </c>
      <c r="E19" s="24"/>
      <c r="F19" s="24"/>
      <c r="H19" s="20" t="s">
        <v>44</v>
      </c>
      <c r="I19" s="26">
        <v>1</v>
      </c>
      <c r="J19" s="24">
        <v>889</v>
      </c>
      <c r="K19" s="24">
        <v>889</v>
      </c>
      <c r="M19" s="19" t="s">
        <v>175</v>
      </c>
      <c r="N19" s="23">
        <v>20</v>
      </c>
      <c r="O19" s="24">
        <v>2514.6</v>
      </c>
      <c r="P19" s="24">
        <v>125.72999999999999</v>
      </c>
    </row>
    <row r="20" spans="1:16" x14ac:dyDescent="0.25">
      <c r="A20" s="20" t="s">
        <v>184</v>
      </c>
      <c r="B20" s="26">
        <v>1</v>
      </c>
      <c r="C20" s="24">
        <v>889</v>
      </c>
      <c r="D20" s="24">
        <v>889</v>
      </c>
      <c r="E20" s="24"/>
      <c r="F20" s="24"/>
      <c r="H20" s="20" t="s">
        <v>28</v>
      </c>
      <c r="I20" s="26">
        <v>1</v>
      </c>
      <c r="J20" s="24">
        <v>76.2</v>
      </c>
      <c r="K20" s="24">
        <v>76.2</v>
      </c>
      <c r="M20" s="19" t="s">
        <v>173</v>
      </c>
      <c r="N20" s="23">
        <v>8</v>
      </c>
      <c r="O20" s="24">
        <v>1524</v>
      </c>
      <c r="P20" s="24">
        <v>190.5</v>
      </c>
    </row>
    <row r="21" spans="1:16" x14ac:dyDescent="0.25">
      <c r="A21" s="20" t="s">
        <v>43</v>
      </c>
      <c r="B21" s="26">
        <v>1</v>
      </c>
      <c r="C21" s="24">
        <v>889</v>
      </c>
      <c r="D21" s="24">
        <v>889</v>
      </c>
      <c r="E21" s="24"/>
      <c r="F21" s="24"/>
      <c r="H21" s="20" t="s">
        <v>24</v>
      </c>
      <c r="I21" s="26">
        <v>1</v>
      </c>
      <c r="J21" s="24">
        <v>889</v>
      </c>
      <c r="K21" s="24">
        <v>889</v>
      </c>
      <c r="M21" s="19" t="s">
        <v>166</v>
      </c>
      <c r="N21" s="23">
        <v>7</v>
      </c>
      <c r="O21" s="24">
        <v>1320.8</v>
      </c>
      <c r="P21" s="24">
        <v>188.68571428571428</v>
      </c>
    </row>
    <row r="22" spans="1:16" x14ac:dyDescent="0.25">
      <c r="A22" s="20" t="s">
        <v>44</v>
      </c>
      <c r="B22" s="26">
        <v>1</v>
      </c>
      <c r="C22" s="24">
        <v>889</v>
      </c>
      <c r="D22" s="24">
        <v>889</v>
      </c>
      <c r="E22" s="24"/>
      <c r="F22" s="24"/>
      <c r="H22" s="20" t="s">
        <v>25</v>
      </c>
      <c r="I22" s="26">
        <v>1</v>
      </c>
      <c r="J22" s="24">
        <v>76.2</v>
      </c>
      <c r="K22" s="24">
        <v>76.2</v>
      </c>
      <c r="M22" s="19" t="s">
        <v>181</v>
      </c>
      <c r="N22" s="23">
        <v>7</v>
      </c>
      <c r="O22" s="24">
        <v>635</v>
      </c>
      <c r="P22" s="24">
        <v>90.714285714285708</v>
      </c>
    </row>
    <row r="23" spans="1:16" x14ac:dyDescent="0.25">
      <c r="A23" s="20" t="s">
        <v>40</v>
      </c>
      <c r="B23" s="26">
        <v>1</v>
      </c>
      <c r="C23" s="24">
        <v>76.2</v>
      </c>
      <c r="D23" s="24">
        <v>76.2</v>
      </c>
      <c r="E23" s="24"/>
      <c r="F23" s="24"/>
      <c r="H23" s="20" t="s">
        <v>35</v>
      </c>
      <c r="I23" s="26">
        <v>1</v>
      </c>
      <c r="J23" s="24">
        <v>889</v>
      </c>
      <c r="K23" s="24">
        <v>889</v>
      </c>
      <c r="M23" s="19" t="s">
        <v>176</v>
      </c>
      <c r="N23" s="23">
        <v>5</v>
      </c>
      <c r="O23" s="24">
        <v>381</v>
      </c>
      <c r="P23" s="24">
        <v>76.2</v>
      </c>
    </row>
    <row r="24" spans="1:16" x14ac:dyDescent="0.25">
      <c r="A24" s="20" t="s">
        <v>25</v>
      </c>
      <c r="B24" s="26">
        <v>1</v>
      </c>
      <c r="C24" s="24">
        <v>254</v>
      </c>
      <c r="D24" s="24">
        <v>254</v>
      </c>
      <c r="E24" s="24"/>
      <c r="F24" s="24"/>
      <c r="H24" s="20" t="s">
        <v>39</v>
      </c>
      <c r="I24" s="26">
        <v>1</v>
      </c>
      <c r="J24" s="24">
        <v>889</v>
      </c>
      <c r="K24" s="24">
        <v>889</v>
      </c>
      <c r="M24" s="19" t="s">
        <v>177</v>
      </c>
      <c r="N24" s="23">
        <v>5</v>
      </c>
      <c r="O24" s="24">
        <v>609.6</v>
      </c>
      <c r="P24" s="24">
        <v>121.92</v>
      </c>
    </row>
    <row r="25" spans="1:16" x14ac:dyDescent="0.25">
      <c r="A25" s="20" t="s">
        <v>31</v>
      </c>
      <c r="B25" s="26">
        <v>1</v>
      </c>
      <c r="C25" s="24">
        <v>127</v>
      </c>
      <c r="D25" s="24">
        <v>127</v>
      </c>
      <c r="E25" s="24"/>
      <c r="F25" s="24"/>
      <c r="H25" s="19" t="s">
        <v>166</v>
      </c>
      <c r="I25" s="26">
        <v>12</v>
      </c>
      <c r="J25" s="24">
        <v>4114.8</v>
      </c>
      <c r="K25" s="24">
        <v>342.90000000000003</v>
      </c>
      <c r="M25" s="19" t="s">
        <v>171</v>
      </c>
      <c r="N25" s="23">
        <v>3</v>
      </c>
      <c r="O25" s="24">
        <v>762</v>
      </c>
      <c r="P25" s="24">
        <v>254</v>
      </c>
    </row>
    <row r="26" spans="1:16" x14ac:dyDescent="0.25">
      <c r="A26" s="20" t="s">
        <v>26</v>
      </c>
      <c r="B26" s="26">
        <v>1</v>
      </c>
      <c r="C26" s="24">
        <v>76.2</v>
      </c>
      <c r="D26" s="24">
        <v>76.2</v>
      </c>
      <c r="E26" s="24"/>
      <c r="F26" s="24"/>
      <c r="H26" s="20" t="s">
        <v>34</v>
      </c>
      <c r="I26" s="26">
        <v>3</v>
      </c>
      <c r="J26" s="24">
        <v>457.2</v>
      </c>
      <c r="K26" s="24">
        <v>152.4</v>
      </c>
      <c r="M26" s="19" t="s">
        <v>182</v>
      </c>
      <c r="N26" s="23">
        <v>2</v>
      </c>
      <c r="O26" s="24">
        <v>152.4</v>
      </c>
      <c r="P26" s="24">
        <v>76.2</v>
      </c>
    </row>
    <row r="27" spans="1:16" x14ac:dyDescent="0.25">
      <c r="A27" s="20" t="s">
        <v>35</v>
      </c>
      <c r="B27" s="26">
        <v>1</v>
      </c>
      <c r="C27" s="24">
        <v>889</v>
      </c>
      <c r="D27" s="24">
        <v>889</v>
      </c>
      <c r="E27" s="24"/>
      <c r="F27" s="24"/>
      <c r="H27" s="20" t="s">
        <v>31</v>
      </c>
      <c r="I27" s="26">
        <v>2</v>
      </c>
      <c r="J27" s="24">
        <v>152.4</v>
      </c>
      <c r="K27" s="24">
        <v>76.2</v>
      </c>
      <c r="M27" s="19" t="s">
        <v>179</v>
      </c>
      <c r="N27" s="23">
        <v>2</v>
      </c>
      <c r="O27" s="24">
        <v>152.4</v>
      </c>
      <c r="P27" s="24">
        <v>76.2</v>
      </c>
    </row>
    <row r="28" spans="1:16" x14ac:dyDescent="0.25">
      <c r="A28" s="20" t="s">
        <v>39</v>
      </c>
      <c r="B28" s="26">
        <v>1</v>
      </c>
      <c r="C28" s="24">
        <v>889</v>
      </c>
      <c r="D28" s="24">
        <v>889</v>
      </c>
      <c r="E28" s="24"/>
      <c r="F28" s="24"/>
      <c r="H28" s="20" t="s">
        <v>26</v>
      </c>
      <c r="I28" s="26">
        <v>2</v>
      </c>
      <c r="J28" s="24">
        <v>711.2</v>
      </c>
      <c r="K28" s="24">
        <v>355.6</v>
      </c>
      <c r="M28" s="19" t="s">
        <v>178</v>
      </c>
      <c r="N28" s="23">
        <v>1</v>
      </c>
      <c r="O28" s="24">
        <v>254</v>
      </c>
      <c r="P28" s="24">
        <v>254</v>
      </c>
    </row>
    <row r="29" spans="1:16" x14ac:dyDescent="0.25">
      <c r="A29" s="19" t="s">
        <v>174</v>
      </c>
      <c r="B29" s="26">
        <v>10</v>
      </c>
      <c r="C29" s="24">
        <v>1524</v>
      </c>
      <c r="D29" s="24">
        <v>152.4</v>
      </c>
      <c r="E29" s="24"/>
      <c r="F29" s="24"/>
      <c r="H29" s="20" t="s">
        <v>27</v>
      </c>
      <c r="I29" s="26">
        <v>1</v>
      </c>
      <c r="J29" s="24">
        <v>635</v>
      </c>
      <c r="K29" s="24">
        <v>635</v>
      </c>
      <c r="M29" s="19" t="s">
        <v>183</v>
      </c>
      <c r="N29" s="23">
        <v>60</v>
      </c>
      <c r="O29" s="24">
        <v>8305.7999999999993</v>
      </c>
      <c r="P29" s="24">
        <v>138.42999999999998</v>
      </c>
    </row>
    <row r="30" spans="1:16" x14ac:dyDescent="0.25">
      <c r="A30" s="20" t="s">
        <v>31</v>
      </c>
      <c r="B30" s="26">
        <v>2</v>
      </c>
      <c r="C30" s="24">
        <v>203.2</v>
      </c>
      <c r="D30" s="24">
        <v>101.6</v>
      </c>
      <c r="E30" s="24"/>
      <c r="F30" s="24"/>
      <c r="H30" s="20" t="s">
        <v>35</v>
      </c>
      <c r="I30" s="26">
        <v>1</v>
      </c>
      <c r="J30" s="24">
        <v>254</v>
      </c>
      <c r="K30" s="24">
        <v>254</v>
      </c>
    </row>
    <row r="31" spans="1:16" x14ac:dyDescent="0.25">
      <c r="A31" s="20" t="s">
        <v>38</v>
      </c>
      <c r="B31" s="26">
        <v>2</v>
      </c>
      <c r="C31" s="24">
        <v>330.2</v>
      </c>
      <c r="D31" s="24">
        <v>165.1</v>
      </c>
      <c r="E31" s="24"/>
      <c r="F31" s="24"/>
      <c r="H31" s="20" t="s">
        <v>25</v>
      </c>
      <c r="I31" s="26">
        <v>1</v>
      </c>
      <c r="J31" s="24">
        <v>635</v>
      </c>
      <c r="K31" s="24">
        <v>635</v>
      </c>
    </row>
    <row r="32" spans="1:16" x14ac:dyDescent="0.25">
      <c r="A32" s="20" t="s">
        <v>44</v>
      </c>
      <c r="B32" s="26">
        <v>1</v>
      </c>
      <c r="C32" s="24">
        <v>254</v>
      </c>
      <c r="D32" s="24">
        <v>254</v>
      </c>
      <c r="E32" s="24"/>
      <c r="F32" s="24"/>
      <c r="H32" s="20" t="s">
        <v>24</v>
      </c>
      <c r="I32" s="26">
        <v>1</v>
      </c>
      <c r="J32" s="24">
        <v>635</v>
      </c>
      <c r="K32" s="24">
        <v>635</v>
      </c>
    </row>
    <row r="33" spans="1:11" x14ac:dyDescent="0.25">
      <c r="A33" s="20" t="s">
        <v>184</v>
      </c>
      <c r="B33" s="26">
        <v>1</v>
      </c>
      <c r="C33" s="24">
        <v>76.2</v>
      </c>
      <c r="D33" s="24">
        <v>76.2</v>
      </c>
      <c r="E33" s="24"/>
      <c r="F33" s="24"/>
      <c r="H33" s="20" t="s">
        <v>28</v>
      </c>
      <c r="I33" s="26">
        <v>1</v>
      </c>
      <c r="J33" s="24">
        <v>635</v>
      </c>
      <c r="K33" s="24">
        <v>635</v>
      </c>
    </row>
    <row r="34" spans="1:11" x14ac:dyDescent="0.25">
      <c r="A34" s="20" t="s">
        <v>28</v>
      </c>
      <c r="B34" s="26">
        <v>1</v>
      </c>
      <c r="C34" s="24">
        <v>76.2</v>
      </c>
      <c r="D34" s="24">
        <v>76.2</v>
      </c>
      <c r="E34" s="24"/>
      <c r="F34" s="24"/>
      <c r="H34" s="19" t="s">
        <v>171</v>
      </c>
      <c r="I34" s="26">
        <v>8</v>
      </c>
      <c r="J34" s="24">
        <v>2540</v>
      </c>
      <c r="K34" s="24">
        <v>317.5</v>
      </c>
    </row>
    <row r="35" spans="1:11" x14ac:dyDescent="0.25">
      <c r="A35" s="20" t="s">
        <v>27</v>
      </c>
      <c r="B35" s="26">
        <v>1</v>
      </c>
      <c r="C35" s="24">
        <v>76.2</v>
      </c>
      <c r="D35" s="24">
        <v>76.2</v>
      </c>
      <c r="E35" s="24"/>
      <c r="F35" s="24"/>
      <c r="H35" s="20" t="s">
        <v>24</v>
      </c>
      <c r="I35" s="26">
        <v>2</v>
      </c>
      <c r="J35" s="24">
        <v>635</v>
      </c>
      <c r="K35" s="24">
        <v>317.5</v>
      </c>
    </row>
    <row r="36" spans="1:11" x14ac:dyDescent="0.25">
      <c r="A36" s="20" t="s">
        <v>35</v>
      </c>
      <c r="B36" s="26">
        <v>1</v>
      </c>
      <c r="C36" s="24">
        <v>254</v>
      </c>
      <c r="D36" s="24">
        <v>254</v>
      </c>
      <c r="E36" s="24"/>
      <c r="F36" s="24"/>
      <c r="H36" s="20" t="s">
        <v>40</v>
      </c>
      <c r="I36" s="26">
        <v>2</v>
      </c>
      <c r="J36" s="24">
        <v>635</v>
      </c>
      <c r="K36" s="24">
        <v>317.5</v>
      </c>
    </row>
    <row r="37" spans="1:11" x14ac:dyDescent="0.25">
      <c r="A37" s="20" t="s">
        <v>39</v>
      </c>
      <c r="B37" s="26">
        <v>1</v>
      </c>
      <c r="C37" s="24">
        <v>254</v>
      </c>
      <c r="D37" s="24">
        <v>254</v>
      </c>
      <c r="E37" s="24"/>
      <c r="F37" s="24"/>
      <c r="H37" s="20" t="s">
        <v>38</v>
      </c>
      <c r="I37" s="26">
        <v>2</v>
      </c>
      <c r="J37" s="24">
        <v>508</v>
      </c>
      <c r="K37" s="24">
        <v>254</v>
      </c>
    </row>
    <row r="38" spans="1:11" x14ac:dyDescent="0.25">
      <c r="A38" s="19" t="s">
        <v>169</v>
      </c>
      <c r="B38" s="26">
        <v>10</v>
      </c>
      <c r="C38" s="24">
        <v>1524</v>
      </c>
      <c r="D38" s="24">
        <v>152.4</v>
      </c>
      <c r="E38" s="24"/>
      <c r="F38" s="24"/>
      <c r="H38" s="20" t="s">
        <v>27</v>
      </c>
      <c r="I38" s="26">
        <v>1</v>
      </c>
      <c r="J38" s="24">
        <v>381</v>
      </c>
      <c r="K38" s="24">
        <v>381</v>
      </c>
    </row>
    <row r="39" spans="1:11" x14ac:dyDescent="0.25">
      <c r="A39" s="20" t="s">
        <v>40</v>
      </c>
      <c r="B39" s="26">
        <v>1</v>
      </c>
      <c r="C39" s="24">
        <v>254</v>
      </c>
      <c r="D39" s="24">
        <v>254</v>
      </c>
      <c r="E39" s="24"/>
      <c r="F39" s="24"/>
      <c r="H39" s="20" t="s">
        <v>39</v>
      </c>
      <c r="I39" s="26">
        <v>1</v>
      </c>
      <c r="J39" s="24">
        <v>381</v>
      </c>
      <c r="K39" s="24">
        <v>381</v>
      </c>
    </row>
    <row r="40" spans="1:11" x14ac:dyDescent="0.25">
      <c r="A40" s="20" t="s">
        <v>34</v>
      </c>
      <c r="B40" s="26">
        <v>1</v>
      </c>
      <c r="C40" s="24">
        <v>254</v>
      </c>
      <c r="D40" s="24">
        <v>254</v>
      </c>
      <c r="E40" s="24"/>
      <c r="F40" s="24"/>
      <c r="H40" s="19" t="s">
        <v>181</v>
      </c>
      <c r="I40" s="26">
        <v>7</v>
      </c>
      <c r="J40" s="24">
        <v>635</v>
      </c>
      <c r="K40" s="24">
        <v>90.714285714285708</v>
      </c>
    </row>
    <row r="41" spans="1:11" x14ac:dyDescent="0.25">
      <c r="A41" s="20" t="s">
        <v>25</v>
      </c>
      <c r="B41" s="26">
        <v>1</v>
      </c>
      <c r="C41" s="24">
        <v>76.2</v>
      </c>
      <c r="D41" s="24">
        <v>76.2</v>
      </c>
      <c r="E41" s="24"/>
      <c r="F41" s="24"/>
      <c r="H41" s="20" t="s">
        <v>25</v>
      </c>
      <c r="I41" s="26">
        <v>3</v>
      </c>
      <c r="J41" s="24">
        <v>228.6</v>
      </c>
      <c r="K41" s="24">
        <v>76.2</v>
      </c>
    </row>
    <row r="42" spans="1:11" x14ac:dyDescent="0.25">
      <c r="A42" s="20" t="s">
        <v>24</v>
      </c>
      <c r="B42" s="26">
        <v>1</v>
      </c>
      <c r="C42" s="24">
        <v>254</v>
      </c>
      <c r="D42" s="24">
        <v>254</v>
      </c>
      <c r="E42" s="24"/>
      <c r="F42" s="24"/>
      <c r="H42" s="20" t="s">
        <v>26</v>
      </c>
      <c r="I42" s="26">
        <v>2</v>
      </c>
      <c r="J42" s="24">
        <v>152.4</v>
      </c>
      <c r="K42" s="24">
        <v>76.2</v>
      </c>
    </row>
    <row r="43" spans="1:11" x14ac:dyDescent="0.25">
      <c r="A43" s="20" t="s">
        <v>28</v>
      </c>
      <c r="B43" s="26">
        <v>1</v>
      </c>
      <c r="C43" s="24">
        <v>76.2</v>
      </c>
      <c r="D43" s="24">
        <v>76.2</v>
      </c>
      <c r="E43" s="24"/>
      <c r="F43" s="24"/>
      <c r="H43" s="20" t="s">
        <v>27</v>
      </c>
      <c r="I43" s="26">
        <v>1</v>
      </c>
      <c r="J43" s="24">
        <v>127</v>
      </c>
      <c r="K43" s="24">
        <v>127</v>
      </c>
    </row>
    <row r="44" spans="1:11" x14ac:dyDescent="0.25">
      <c r="A44" s="20" t="s">
        <v>27</v>
      </c>
      <c r="B44" s="26">
        <v>1</v>
      </c>
      <c r="C44" s="24">
        <v>127</v>
      </c>
      <c r="D44" s="24">
        <v>127</v>
      </c>
      <c r="E44" s="24"/>
      <c r="F44" s="24"/>
      <c r="H44" s="20" t="s">
        <v>40</v>
      </c>
      <c r="I44" s="26">
        <v>1</v>
      </c>
      <c r="J44" s="24">
        <v>127</v>
      </c>
      <c r="K44" s="24">
        <v>127</v>
      </c>
    </row>
    <row r="45" spans="1:11" x14ac:dyDescent="0.25">
      <c r="A45" s="20" t="s">
        <v>31</v>
      </c>
      <c r="B45" s="26">
        <v>1</v>
      </c>
      <c r="C45" s="24">
        <v>76.2</v>
      </c>
      <c r="D45" s="24">
        <v>76.2</v>
      </c>
      <c r="E45" s="24"/>
      <c r="F45" s="24"/>
      <c r="H45" s="19" t="s">
        <v>177</v>
      </c>
      <c r="I45" s="26">
        <v>6</v>
      </c>
      <c r="J45" s="24">
        <v>863.6</v>
      </c>
      <c r="K45" s="24">
        <v>143.93333333333334</v>
      </c>
    </row>
    <row r="46" spans="1:11" x14ac:dyDescent="0.25">
      <c r="A46" s="20" t="s">
        <v>26</v>
      </c>
      <c r="B46" s="26">
        <v>1</v>
      </c>
      <c r="C46" s="24">
        <v>76.2</v>
      </c>
      <c r="D46" s="24">
        <v>76.2</v>
      </c>
      <c r="E46" s="24"/>
      <c r="F46" s="24"/>
      <c r="H46" s="20" t="s">
        <v>28</v>
      </c>
      <c r="I46" s="26">
        <v>2</v>
      </c>
      <c r="J46" s="24">
        <v>152.4</v>
      </c>
      <c r="K46" s="24">
        <v>76.2</v>
      </c>
    </row>
    <row r="47" spans="1:11" x14ac:dyDescent="0.25">
      <c r="A47" s="20" t="s">
        <v>35</v>
      </c>
      <c r="B47" s="26">
        <v>1</v>
      </c>
      <c r="C47" s="24">
        <v>254</v>
      </c>
      <c r="D47" s="24">
        <v>254</v>
      </c>
      <c r="E47" s="24"/>
      <c r="F47" s="24"/>
      <c r="H47" s="20" t="s">
        <v>25</v>
      </c>
      <c r="I47" s="26">
        <v>1</v>
      </c>
      <c r="J47" s="24">
        <v>127</v>
      </c>
      <c r="K47" s="24">
        <v>127</v>
      </c>
    </row>
    <row r="48" spans="1:11" x14ac:dyDescent="0.25">
      <c r="A48" s="20" t="s">
        <v>38</v>
      </c>
      <c r="B48" s="26">
        <v>1</v>
      </c>
      <c r="C48" s="24">
        <v>76.2</v>
      </c>
      <c r="D48" s="24">
        <v>76.2</v>
      </c>
      <c r="E48" s="24"/>
      <c r="F48" s="24"/>
      <c r="H48" s="20" t="s">
        <v>31</v>
      </c>
      <c r="I48" s="26">
        <v>1</v>
      </c>
      <c r="J48" s="24">
        <v>76.2</v>
      </c>
      <c r="K48" s="24">
        <v>76.2</v>
      </c>
    </row>
    <row r="49" spans="1:11" x14ac:dyDescent="0.25">
      <c r="A49" s="19" t="s">
        <v>170</v>
      </c>
      <c r="B49" s="26">
        <v>9</v>
      </c>
      <c r="C49" s="24">
        <v>2260.6</v>
      </c>
      <c r="D49" s="24">
        <v>251.17777777777778</v>
      </c>
      <c r="E49" s="24"/>
      <c r="F49" s="24"/>
      <c r="H49" s="20" t="s">
        <v>38</v>
      </c>
      <c r="I49" s="26">
        <v>1</v>
      </c>
      <c r="J49" s="24">
        <v>254</v>
      </c>
      <c r="K49" s="24">
        <v>254</v>
      </c>
    </row>
    <row r="50" spans="1:11" x14ac:dyDescent="0.25">
      <c r="A50" s="20" t="s">
        <v>27</v>
      </c>
      <c r="B50" s="26">
        <v>2</v>
      </c>
      <c r="C50" s="24">
        <v>457.2</v>
      </c>
      <c r="D50" s="24">
        <v>228.6</v>
      </c>
      <c r="E50" s="24"/>
      <c r="F50" s="24"/>
      <c r="H50" s="20" t="s">
        <v>35</v>
      </c>
      <c r="I50" s="26">
        <v>1</v>
      </c>
      <c r="J50" s="24">
        <v>254</v>
      </c>
      <c r="K50" s="24">
        <v>254</v>
      </c>
    </row>
    <row r="51" spans="1:11" x14ac:dyDescent="0.25">
      <c r="A51" s="20" t="s">
        <v>38</v>
      </c>
      <c r="B51" s="26">
        <v>2</v>
      </c>
      <c r="C51" s="24">
        <v>508</v>
      </c>
      <c r="D51" s="24">
        <v>254</v>
      </c>
      <c r="E51" s="24"/>
      <c r="F51" s="24"/>
      <c r="H51" s="19" t="s">
        <v>176</v>
      </c>
      <c r="I51" s="26">
        <v>5</v>
      </c>
      <c r="J51" s="24">
        <v>381</v>
      </c>
      <c r="K51" s="24">
        <v>76.2</v>
      </c>
    </row>
    <row r="52" spans="1:11" x14ac:dyDescent="0.25">
      <c r="A52" s="20" t="s">
        <v>31</v>
      </c>
      <c r="B52" s="26">
        <v>1</v>
      </c>
      <c r="C52" s="24">
        <v>76.2</v>
      </c>
      <c r="D52" s="24">
        <v>76.2</v>
      </c>
      <c r="E52" s="24"/>
      <c r="F52" s="24"/>
      <c r="H52" s="20" t="s">
        <v>26</v>
      </c>
      <c r="I52" s="26">
        <v>2</v>
      </c>
      <c r="J52" s="24">
        <v>152.4</v>
      </c>
      <c r="K52" s="24">
        <v>76.2</v>
      </c>
    </row>
    <row r="53" spans="1:11" x14ac:dyDescent="0.25">
      <c r="A53" s="20" t="s">
        <v>40</v>
      </c>
      <c r="B53" s="26">
        <v>1</v>
      </c>
      <c r="C53" s="24">
        <v>381</v>
      </c>
      <c r="D53" s="24">
        <v>381</v>
      </c>
      <c r="E53" s="24"/>
      <c r="F53" s="24"/>
      <c r="H53" s="20" t="s">
        <v>40</v>
      </c>
      <c r="I53" s="26">
        <v>1</v>
      </c>
      <c r="J53" s="24">
        <v>76.2</v>
      </c>
      <c r="K53" s="24">
        <v>76.2</v>
      </c>
    </row>
    <row r="54" spans="1:11" x14ac:dyDescent="0.25">
      <c r="A54" s="20" t="s">
        <v>25</v>
      </c>
      <c r="B54" s="26">
        <v>1</v>
      </c>
      <c r="C54" s="24">
        <v>76.2</v>
      </c>
      <c r="D54" s="24">
        <v>76.2</v>
      </c>
      <c r="E54" s="24"/>
      <c r="F54" s="24"/>
      <c r="H54" s="20" t="s">
        <v>25</v>
      </c>
      <c r="I54" s="26">
        <v>1</v>
      </c>
      <c r="J54" s="24">
        <v>76.2</v>
      </c>
      <c r="K54" s="24">
        <v>76.2</v>
      </c>
    </row>
    <row r="55" spans="1:11" x14ac:dyDescent="0.25">
      <c r="A55" s="20" t="s">
        <v>24</v>
      </c>
      <c r="B55" s="26">
        <v>1</v>
      </c>
      <c r="C55" s="24">
        <v>381</v>
      </c>
      <c r="D55" s="24">
        <v>381</v>
      </c>
      <c r="E55" s="24"/>
      <c r="F55" s="24"/>
      <c r="H55" s="20" t="s">
        <v>28</v>
      </c>
      <c r="I55" s="26">
        <v>1</v>
      </c>
      <c r="J55" s="24">
        <v>76.2</v>
      </c>
      <c r="K55" s="24">
        <v>76.2</v>
      </c>
    </row>
    <row r="56" spans="1:11" x14ac:dyDescent="0.25">
      <c r="A56" s="20" t="s">
        <v>39</v>
      </c>
      <c r="B56" s="26">
        <v>1</v>
      </c>
      <c r="C56" s="24">
        <v>381</v>
      </c>
      <c r="D56" s="24">
        <v>381</v>
      </c>
      <c r="E56" s="24"/>
      <c r="F56" s="24"/>
      <c r="H56" s="19" t="s">
        <v>178</v>
      </c>
      <c r="I56" s="26">
        <v>2</v>
      </c>
      <c r="J56" s="24">
        <v>508</v>
      </c>
      <c r="K56" s="24">
        <v>254</v>
      </c>
    </row>
    <row r="57" spans="1:11" x14ac:dyDescent="0.25">
      <c r="A57" s="19" t="s">
        <v>180</v>
      </c>
      <c r="B57" s="26">
        <v>6</v>
      </c>
      <c r="C57" s="24">
        <v>457.2</v>
      </c>
      <c r="D57" s="24">
        <v>76.2</v>
      </c>
      <c r="E57" s="24"/>
      <c r="F57" s="24"/>
      <c r="H57" s="20" t="s">
        <v>44</v>
      </c>
      <c r="I57" s="26">
        <v>1</v>
      </c>
      <c r="J57" s="24">
        <v>254</v>
      </c>
      <c r="K57" s="24">
        <v>254</v>
      </c>
    </row>
    <row r="58" spans="1:11" x14ac:dyDescent="0.25">
      <c r="A58" s="20" t="s">
        <v>25</v>
      </c>
      <c r="B58" s="26">
        <v>2</v>
      </c>
      <c r="C58" s="24">
        <v>152.4</v>
      </c>
      <c r="D58" s="24">
        <v>76.2</v>
      </c>
      <c r="E58" s="24"/>
      <c r="F58" s="24"/>
      <c r="H58" s="20" t="s">
        <v>39</v>
      </c>
      <c r="I58" s="26">
        <v>1</v>
      </c>
      <c r="J58" s="24">
        <v>254</v>
      </c>
      <c r="K58" s="24">
        <v>254</v>
      </c>
    </row>
    <row r="59" spans="1:11" x14ac:dyDescent="0.25">
      <c r="A59" s="20" t="s">
        <v>26</v>
      </c>
      <c r="B59" s="26">
        <v>2</v>
      </c>
      <c r="C59" s="24">
        <v>152.4</v>
      </c>
      <c r="D59" s="24">
        <v>76.2</v>
      </c>
      <c r="E59" s="24"/>
      <c r="F59" s="24"/>
      <c r="H59" s="19" t="s">
        <v>179</v>
      </c>
      <c r="I59" s="26">
        <v>2</v>
      </c>
      <c r="J59" s="24">
        <v>152.4</v>
      </c>
      <c r="K59" s="24">
        <v>76.2</v>
      </c>
    </row>
    <row r="60" spans="1:11" x14ac:dyDescent="0.25">
      <c r="A60" s="20" t="s">
        <v>31</v>
      </c>
      <c r="B60" s="26">
        <v>1</v>
      </c>
      <c r="C60" s="24">
        <v>76.2</v>
      </c>
      <c r="D60" s="24">
        <v>76.2</v>
      </c>
      <c r="E60" s="24"/>
      <c r="F60" s="24"/>
      <c r="H60" s="20" t="s">
        <v>80</v>
      </c>
      <c r="I60" s="26">
        <v>1</v>
      </c>
      <c r="J60" s="24">
        <v>76.2</v>
      </c>
      <c r="K60" s="24">
        <v>76.2</v>
      </c>
    </row>
    <row r="61" spans="1:11" x14ac:dyDescent="0.25">
      <c r="A61" s="20" t="s">
        <v>34</v>
      </c>
      <c r="B61" s="26">
        <v>1</v>
      </c>
      <c r="C61" s="24">
        <v>76.2</v>
      </c>
      <c r="D61" s="24">
        <v>76.2</v>
      </c>
      <c r="E61" s="24"/>
      <c r="F61" s="24"/>
      <c r="H61" s="20" t="s">
        <v>38</v>
      </c>
      <c r="I61" s="26">
        <v>1</v>
      </c>
      <c r="J61" s="24">
        <v>76.2</v>
      </c>
      <c r="K61" s="24">
        <v>76.2</v>
      </c>
    </row>
    <row r="62" spans="1:11" x14ac:dyDescent="0.25">
      <c r="A62" s="19" t="s">
        <v>183</v>
      </c>
      <c r="B62" s="26">
        <v>81</v>
      </c>
      <c r="C62" s="24">
        <v>19735.8</v>
      </c>
      <c r="D62" s="24">
        <v>243.65185185185183</v>
      </c>
      <c r="E62" s="24"/>
      <c r="F62" s="24"/>
      <c r="H62" s="19" t="s">
        <v>182</v>
      </c>
      <c r="I62" s="26">
        <v>2</v>
      </c>
      <c r="J62" s="24">
        <v>152.4</v>
      </c>
      <c r="K62" s="24">
        <v>76.2</v>
      </c>
    </row>
    <row r="63" spans="1:11" x14ac:dyDescent="0.25">
      <c r="H63" s="20" t="s">
        <v>31</v>
      </c>
      <c r="I63" s="26">
        <v>1</v>
      </c>
      <c r="J63" s="24">
        <v>76.2</v>
      </c>
      <c r="K63" s="24">
        <v>76.2</v>
      </c>
    </row>
    <row r="64" spans="1:11" x14ac:dyDescent="0.25">
      <c r="H64" s="20" t="s">
        <v>38</v>
      </c>
      <c r="I64" s="26">
        <v>1</v>
      </c>
      <c r="J64" s="24">
        <v>76.2</v>
      </c>
      <c r="K64" s="24">
        <v>76.2</v>
      </c>
    </row>
    <row r="65" spans="8:11" x14ac:dyDescent="0.25">
      <c r="H65" s="19" t="s">
        <v>183</v>
      </c>
      <c r="I65" s="26">
        <v>81</v>
      </c>
      <c r="J65" s="24">
        <v>19735.8</v>
      </c>
      <c r="K65" s="24">
        <v>243.65185185185183</v>
      </c>
    </row>
  </sheetData>
  <mergeCells count="4">
    <mergeCell ref="A2:D2"/>
    <mergeCell ref="H2:K2"/>
    <mergeCell ref="M2:P2"/>
    <mergeCell ref="M17:P17"/>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0316-CD92-4472-997C-1ABA398DF47B}">
  <sheetPr>
    <tabColor theme="3" tint="0.749992370372631"/>
  </sheetPr>
  <dimension ref="A1:D82"/>
  <sheetViews>
    <sheetView zoomScaleNormal="100" workbookViewId="0">
      <selection activeCell="D3" sqref="D3"/>
    </sheetView>
  </sheetViews>
  <sheetFormatPr defaultRowHeight="15.75" x14ac:dyDescent="0.25"/>
  <cols>
    <col min="1" max="1" width="7.7109375" style="4" bestFit="1" customWidth="1"/>
    <col min="2" max="2" width="9.42578125" style="2" customWidth="1"/>
    <col min="3" max="3" width="14.7109375" style="2" bestFit="1" customWidth="1"/>
    <col min="4" max="4" width="38.7109375" style="2" bestFit="1" customWidth="1"/>
  </cols>
  <sheetData>
    <row r="1" spans="1:4" x14ac:dyDescent="0.25">
      <c r="A1" s="13" t="s">
        <v>18</v>
      </c>
      <c r="B1" s="14" t="s">
        <v>19</v>
      </c>
      <c r="C1" s="14" t="s">
        <v>20</v>
      </c>
      <c r="D1" s="14" t="s">
        <v>21</v>
      </c>
    </row>
    <row r="2" spans="1:4" x14ac:dyDescent="0.25">
      <c r="A2" s="2">
        <v>123123</v>
      </c>
      <c r="B2" s="2" t="s">
        <v>22</v>
      </c>
      <c r="C2" s="2" t="s">
        <v>23</v>
      </c>
      <c r="D2" s="2" t="s">
        <v>24</v>
      </c>
    </row>
    <row r="3" spans="1:4" x14ac:dyDescent="0.25">
      <c r="A3" s="2">
        <v>123123</v>
      </c>
      <c r="B3" s="2" t="s">
        <v>22</v>
      </c>
      <c r="C3" s="2" t="s">
        <v>23</v>
      </c>
      <c r="D3" s="2" t="s">
        <v>25</v>
      </c>
    </row>
    <row r="4" spans="1:4" x14ac:dyDescent="0.25">
      <c r="A4" s="2">
        <v>123123</v>
      </c>
      <c r="B4" s="2" t="s">
        <v>22</v>
      </c>
      <c r="C4" s="2" t="s">
        <v>23</v>
      </c>
      <c r="D4" s="2" t="s">
        <v>26</v>
      </c>
    </row>
    <row r="5" spans="1:4" x14ac:dyDescent="0.25">
      <c r="A5" s="2">
        <v>123123</v>
      </c>
      <c r="B5" s="2" t="s">
        <v>22</v>
      </c>
      <c r="C5" s="2" t="s">
        <v>23</v>
      </c>
      <c r="D5" s="2" t="s">
        <v>27</v>
      </c>
    </row>
    <row r="6" spans="1:4" x14ac:dyDescent="0.25">
      <c r="A6" s="2">
        <v>123123</v>
      </c>
      <c r="B6" s="2" t="s">
        <v>22</v>
      </c>
      <c r="C6" s="2" t="s">
        <v>23</v>
      </c>
      <c r="D6" s="2" t="s">
        <v>28</v>
      </c>
    </row>
    <row r="7" spans="1:4" x14ac:dyDescent="0.25">
      <c r="A7" s="2">
        <v>234567</v>
      </c>
      <c r="B7" s="2" t="s">
        <v>29</v>
      </c>
      <c r="C7" s="2" t="s">
        <v>30</v>
      </c>
      <c r="D7" s="2" t="s">
        <v>31</v>
      </c>
    </row>
    <row r="8" spans="1:4" x14ac:dyDescent="0.25">
      <c r="A8" s="2">
        <v>234568</v>
      </c>
      <c r="B8" s="2" t="s">
        <v>32</v>
      </c>
      <c r="C8" s="2" t="s">
        <v>33</v>
      </c>
      <c r="D8" s="2" t="s">
        <v>34</v>
      </c>
    </row>
    <row r="9" spans="1:4" x14ac:dyDescent="0.25">
      <c r="A9" s="2">
        <v>234568</v>
      </c>
      <c r="B9" s="2" t="s">
        <v>32</v>
      </c>
      <c r="C9" s="2" t="s">
        <v>33</v>
      </c>
      <c r="D9" s="2" t="s">
        <v>35</v>
      </c>
    </row>
    <row r="10" spans="1:4" x14ac:dyDescent="0.25">
      <c r="A10" s="2">
        <v>234569</v>
      </c>
      <c r="B10" s="2" t="s">
        <v>36</v>
      </c>
      <c r="C10" s="2" t="s">
        <v>37</v>
      </c>
      <c r="D10" s="2" t="s">
        <v>38</v>
      </c>
    </row>
    <row r="11" spans="1:4" x14ac:dyDescent="0.25">
      <c r="A11" s="2">
        <v>234569</v>
      </c>
      <c r="B11" s="2" t="s">
        <v>36</v>
      </c>
      <c r="C11" s="2" t="s">
        <v>37</v>
      </c>
      <c r="D11" s="2" t="s">
        <v>39</v>
      </c>
    </row>
    <row r="12" spans="1:4" x14ac:dyDescent="0.25">
      <c r="A12" s="2">
        <v>234569</v>
      </c>
      <c r="B12" s="2" t="s">
        <v>36</v>
      </c>
      <c r="C12" s="2" t="s">
        <v>37</v>
      </c>
      <c r="D12" s="2" t="s">
        <v>40</v>
      </c>
    </row>
    <row r="13" spans="1:4" x14ac:dyDescent="0.25">
      <c r="A13" s="2">
        <v>234569</v>
      </c>
      <c r="B13" s="2" t="s">
        <v>36</v>
      </c>
      <c r="C13" s="2" t="s">
        <v>37</v>
      </c>
      <c r="D13" s="2" t="s">
        <v>27</v>
      </c>
    </row>
    <row r="14" spans="1:4" x14ac:dyDescent="0.25">
      <c r="A14" s="2">
        <v>234569</v>
      </c>
      <c r="B14" s="2" t="s">
        <v>36</v>
      </c>
      <c r="C14" s="2" t="s">
        <v>37</v>
      </c>
      <c r="D14" s="2" t="s">
        <v>24</v>
      </c>
    </row>
    <row r="15" spans="1:4" x14ac:dyDescent="0.25">
      <c r="A15" s="2">
        <v>234570</v>
      </c>
      <c r="B15" s="2" t="s">
        <v>41</v>
      </c>
      <c r="C15" s="2" t="s">
        <v>42</v>
      </c>
      <c r="D15" s="2" t="s">
        <v>35</v>
      </c>
    </row>
    <row r="16" spans="1:4" x14ac:dyDescent="0.25">
      <c r="A16" s="2">
        <v>234570</v>
      </c>
      <c r="B16" s="2" t="s">
        <v>41</v>
      </c>
      <c r="C16" s="2" t="s">
        <v>42</v>
      </c>
      <c r="D16" s="2" t="s">
        <v>27</v>
      </c>
    </row>
    <row r="17" spans="1:4" x14ac:dyDescent="0.25">
      <c r="A17" s="2">
        <v>234570</v>
      </c>
      <c r="B17" s="2" t="s">
        <v>41</v>
      </c>
      <c r="C17" s="2" t="s">
        <v>42</v>
      </c>
      <c r="D17" s="2" t="s">
        <v>24</v>
      </c>
    </row>
    <row r="18" spans="1:4" x14ac:dyDescent="0.25">
      <c r="A18" s="2">
        <v>234570</v>
      </c>
      <c r="B18" s="2" t="s">
        <v>41</v>
      </c>
      <c r="C18" s="2" t="s">
        <v>42</v>
      </c>
      <c r="D18" s="2" t="s">
        <v>43</v>
      </c>
    </row>
    <row r="19" spans="1:4" x14ac:dyDescent="0.25">
      <c r="A19" s="2">
        <v>234570</v>
      </c>
      <c r="B19" s="2" t="s">
        <v>41</v>
      </c>
      <c r="C19" s="2" t="s">
        <v>42</v>
      </c>
      <c r="D19" s="2" t="s">
        <v>39</v>
      </c>
    </row>
    <row r="20" spans="1:4" x14ac:dyDescent="0.25">
      <c r="A20" s="2">
        <v>234570</v>
      </c>
      <c r="B20" s="2" t="s">
        <v>41</v>
      </c>
      <c r="C20" s="2" t="s">
        <v>42</v>
      </c>
      <c r="D20" s="2" t="s">
        <v>44</v>
      </c>
    </row>
    <row r="21" spans="1:4" x14ac:dyDescent="0.25">
      <c r="A21" s="2">
        <v>234570</v>
      </c>
      <c r="B21" s="2" t="s">
        <v>41</v>
      </c>
      <c r="C21" s="2" t="s">
        <v>42</v>
      </c>
      <c r="D21" s="2" t="s">
        <v>45</v>
      </c>
    </row>
    <row r="22" spans="1:4" x14ac:dyDescent="0.25">
      <c r="A22" s="2">
        <v>234571</v>
      </c>
      <c r="B22" s="2" t="s">
        <v>46</v>
      </c>
      <c r="C22" s="2" t="s">
        <v>47</v>
      </c>
      <c r="D22" s="2" t="s">
        <v>45</v>
      </c>
    </row>
    <row r="23" spans="1:4" x14ac:dyDescent="0.25">
      <c r="A23" s="2">
        <v>234572</v>
      </c>
      <c r="B23" s="2" t="s">
        <v>48</v>
      </c>
      <c r="C23" s="2" t="s">
        <v>49</v>
      </c>
      <c r="D23" s="2" t="s">
        <v>24</v>
      </c>
    </row>
    <row r="24" spans="1:4" x14ac:dyDescent="0.25">
      <c r="A24" s="2">
        <v>234573</v>
      </c>
      <c r="B24" s="2" t="s">
        <v>50</v>
      </c>
      <c r="C24" s="2" t="s">
        <v>51</v>
      </c>
      <c r="D24" s="2" t="s">
        <v>24</v>
      </c>
    </row>
    <row r="25" spans="1:4" x14ac:dyDescent="0.25">
      <c r="A25" s="2">
        <v>234574</v>
      </c>
      <c r="B25" s="2" t="s">
        <v>52</v>
      </c>
      <c r="C25" s="2" t="s">
        <v>53</v>
      </c>
      <c r="D25" s="2" t="s">
        <v>25</v>
      </c>
    </row>
    <row r="26" spans="1:4" x14ac:dyDescent="0.25">
      <c r="A26" s="2">
        <v>234575</v>
      </c>
      <c r="B26" s="2" t="s">
        <v>54</v>
      </c>
      <c r="C26" s="2" t="s">
        <v>55</v>
      </c>
      <c r="D26" s="2" t="s">
        <v>26</v>
      </c>
    </row>
    <row r="27" spans="1:4" x14ac:dyDescent="0.25">
      <c r="A27" s="2">
        <v>234576</v>
      </c>
      <c r="B27" s="2" t="s">
        <v>56</v>
      </c>
      <c r="C27" s="2" t="s">
        <v>57</v>
      </c>
      <c r="D27" s="2" t="s">
        <v>27</v>
      </c>
    </row>
    <row r="28" spans="1:4" x14ac:dyDescent="0.25">
      <c r="A28" s="2">
        <v>234577</v>
      </c>
      <c r="B28" s="2" t="s">
        <v>58</v>
      </c>
      <c r="C28" s="2" t="s">
        <v>59</v>
      </c>
      <c r="D28" s="2" t="s">
        <v>28</v>
      </c>
    </row>
    <row r="29" spans="1:4" x14ac:dyDescent="0.25">
      <c r="A29" s="2">
        <v>234578</v>
      </c>
      <c r="B29" s="2" t="s">
        <v>60</v>
      </c>
      <c r="C29" s="2" t="s">
        <v>61</v>
      </c>
      <c r="D29" s="2" t="s">
        <v>31</v>
      </c>
    </row>
    <row r="30" spans="1:4" x14ac:dyDescent="0.25">
      <c r="A30" s="2">
        <v>234579</v>
      </c>
      <c r="B30" s="2" t="s">
        <v>62</v>
      </c>
      <c r="C30" s="2" t="s">
        <v>63</v>
      </c>
      <c r="D30" s="2" t="s">
        <v>34</v>
      </c>
    </row>
    <row r="31" spans="1:4" x14ac:dyDescent="0.25">
      <c r="A31" s="2">
        <v>234580</v>
      </c>
      <c r="B31" s="2" t="s">
        <v>64</v>
      </c>
      <c r="C31" s="2" t="s">
        <v>65</v>
      </c>
      <c r="D31" s="2" t="s">
        <v>35</v>
      </c>
    </row>
    <row r="32" spans="1:4" x14ac:dyDescent="0.25">
      <c r="A32" s="2">
        <v>234581</v>
      </c>
      <c r="B32" s="2" t="s">
        <v>66</v>
      </c>
      <c r="C32" s="2" t="s">
        <v>67</v>
      </c>
      <c r="D32" s="2" t="s">
        <v>38</v>
      </c>
    </row>
    <row r="33" spans="1:4" x14ac:dyDescent="0.25">
      <c r="A33" s="2">
        <v>234581</v>
      </c>
      <c r="B33" s="2" t="s">
        <v>66</v>
      </c>
      <c r="C33" s="2" t="s">
        <v>67</v>
      </c>
      <c r="D33" s="2" t="s">
        <v>35</v>
      </c>
    </row>
    <row r="34" spans="1:4" x14ac:dyDescent="0.25">
      <c r="A34" s="2">
        <v>234582</v>
      </c>
      <c r="B34" s="2" t="s">
        <v>68</v>
      </c>
      <c r="C34" s="2" t="s">
        <v>69</v>
      </c>
      <c r="D34" s="2" t="s">
        <v>40</v>
      </c>
    </row>
    <row r="35" spans="1:4" x14ac:dyDescent="0.25">
      <c r="A35" s="2">
        <v>234582</v>
      </c>
      <c r="B35" s="2" t="s">
        <v>68</v>
      </c>
      <c r="C35" s="2" t="s">
        <v>69</v>
      </c>
      <c r="D35" s="2" t="s">
        <v>24</v>
      </c>
    </row>
    <row r="36" spans="1:4" x14ac:dyDescent="0.25">
      <c r="A36" s="2">
        <v>234583</v>
      </c>
      <c r="B36" s="2" t="s">
        <v>70</v>
      </c>
      <c r="C36" s="2" t="s">
        <v>71</v>
      </c>
      <c r="D36" s="2" t="s">
        <v>44</v>
      </c>
    </row>
    <row r="37" spans="1:4" x14ac:dyDescent="0.25">
      <c r="A37" s="2">
        <v>234583</v>
      </c>
      <c r="B37" s="2" t="s">
        <v>70</v>
      </c>
      <c r="C37" s="2" t="s">
        <v>71</v>
      </c>
      <c r="D37" s="2" t="s">
        <v>24</v>
      </c>
    </row>
    <row r="38" spans="1:4" x14ac:dyDescent="0.25">
      <c r="A38" s="2">
        <v>234583</v>
      </c>
      <c r="B38" s="2" t="s">
        <v>70</v>
      </c>
      <c r="C38" s="2" t="s">
        <v>71</v>
      </c>
      <c r="D38" s="2" t="s">
        <v>26</v>
      </c>
    </row>
    <row r="39" spans="1:4" x14ac:dyDescent="0.25">
      <c r="A39" s="2">
        <v>234584</v>
      </c>
      <c r="B39" s="2" t="s">
        <v>72</v>
      </c>
      <c r="C39" s="2" t="s">
        <v>73</v>
      </c>
      <c r="D39" s="2" t="s">
        <v>24</v>
      </c>
    </row>
    <row r="40" spans="1:4" x14ac:dyDescent="0.25">
      <c r="A40" s="2">
        <v>234584</v>
      </c>
      <c r="B40" s="2" t="s">
        <v>72</v>
      </c>
      <c r="C40" s="2" t="s">
        <v>73</v>
      </c>
      <c r="D40" s="2" t="s">
        <v>25</v>
      </c>
    </row>
    <row r="41" spans="1:4" x14ac:dyDescent="0.25">
      <c r="A41" s="2">
        <v>234585</v>
      </c>
      <c r="B41" s="2" t="s">
        <v>74</v>
      </c>
      <c r="C41" s="2" t="s">
        <v>75</v>
      </c>
      <c r="D41" s="2" t="s">
        <v>39</v>
      </c>
    </row>
    <row r="42" spans="1:4" x14ac:dyDescent="0.25">
      <c r="A42" s="2">
        <v>234585</v>
      </c>
      <c r="B42" s="2" t="s">
        <v>74</v>
      </c>
      <c r="C42" s="2" t="s">
        <v>75</v>
      </c>
      <c r="D42" s="2" t="s">
        <v>44</v>
      </c>
    </row>
    <row r="43" spans="1:4" x14ac:dyDescent="0.25">
      <c r="A43" s="2">
        <v>234586</v>
      </c>
      <c r="B43" s="2" t="s">
        <v>76</v>
      </c>
      <c r="C43" s="2" t="s">
        <v>77</v>
      </c>
      <c r="D43" s="2" t="s">
        <v>26</v>
      </c>
    </row>
    <row r="44" spans="1:4" x14ac:dyDescent="0.25">
      <c r="A44" s="2">
        <v>234587</v>
      </c>
      <c r="B44" s="2" t="s">
        <v>78</v>
      </c>
      <c r="C44" s="2" t="s">
        <v>79</v>
      </c>
      <c r="D44" s="2" t="s">
        <v>80</v>
      </c>
    </row>
    <row r="45" spans="1:4" x14ac:dyDescent="0.25">
      <c r="A45" s="2">
        <v>234588</v>
      </c>
      <c r="B45" s="2" t="s">
        <v>81</v>
      </c>
      <c r="C45" s="2" t="s">
        <v>82</v>
      </c>
      <c r="D45" s="2" t="s">
        <v>26</v>
      </c>
    </row>
    <row r="46" spans="1:4" x14ac:dyDescent="0.25">
      <c r="A46" s="2">
        <v>234589</v>
      </c>
      <c r="B46" s="2" t="s">
        <v>83</v>
      </c>
      <c r="C46" s="2" t="s">
        <v>84</v>
      </c>
      <c r="D46" s="2" t="s">
        <v>25</v>
      </c>
    </row>
    <row r="47" spans="1:4" x14ac:dyDescent="0.25">
      <c r="A47" s="2">
        <v>234590</v>
      </c>
      <c r="B47" s="2" t="s">
        <v>85</v>
      </c>
      <c r="C47" s="2" t="s">
        <v>86</v>
      </c>
      <c r="D47" s="2" t="s">
        <v>26</v>
      </c>
    </row>
    <row r="48" spans="1:4" x14ac:dyDescent="0.25">
      <c r="A48" s="2">
        <v>234591</v>
      </c>
      <c r="B48" s="2" t="s">
        <v>87</v>
      </c>
      <c r="C48" s="2" t="s">
        <v>88</v>
      </c>
      <c r="D48" s="2" t="s">
        <v>27</v>
      </c>
    </row>
    <row r="49" spans="1:4" x14ac:dyDescent="0.25">
      <c r="A49" s="2">
        <v>234592</v>
      </c>
      <c r="B49" s="2" t="s">
        <v>89</v>
      </c>
      <c r="C49" s="2" t="s">
        <v>90</v>
      </c>
      <c r="D49" s="2" t="s">
        <v>28</v>
      </c>
    </row>
    <row r="50" spans="1:4" x14ac:dyDescent="0.25">
      <c r="A50" s="2">
        <v>234593</v>
      </c>
      <c r="B50" s="2" t="s">
        <v>91</v>
      </c>
      <c r="C50" s="2" t="s">
        <v>92</v>
      </c>
      <c r="D50" s="2" t="s">
        <v>31</v>
      </c>
    </row>
    <row r="51" spans="1:4" x14ac:dyDescent="0.25">
      <c r="A51" s="2">
        <v>234594</v>
      </c>
      <c r="B51" s="2" t="s">
        <v>93</v>
      </c>
      <c r="C51" s="2" t="s">
        <v>94</v>
      </c>
      <c r="D51" s="2" t="s">
        <v>34</v>
      </c>
    </row>
    <row r="52" spans="1:4" x14ac:dyDescent="0.25">
      <c r="A52" s="2">
        <v>234595</v>
      </c>
      <c r="B52" s="2" t="s">
        <v>95</v>
      </c>
      <c r="C52" s="2" t="s">
        <v>96</v>
      </c>
      <c r="D52" s="2" t="s">
        <v>40</v>
      </c>
    </row>
    <row r="53" spans="1:4" x14ac:dyDescent="0.25">
      <c r="A53" s="2">
        <v>234596</v>
      </c>
      <c r="B53" s="2" t="s">
        <v>97</v>
      </c>
      <c r="C53" s="2" t="s">
        <v>98</v>
      </c>
      <c r="D53" s="2" t="s">
        <v>38</v>
      </c>
    </row>
    <row r="54" spans="1:4" x14ac:dyDescent="0.25">
      <c r="A54" s="2">
        <v>234597</v>
      </c>
      <c r="B54" s="2" t="s">
        <v>99</v>
      </c>
      <c r="C54" s="2" t="s">
        <v>100</v>
      </c>
      <c r="D54" s="2" t="s">
        <v>38</v>
      </c>
    </row>
    <row r="55" spans="1:4" x14ac:dyDescent="0.25">
      <c r="A55" s="2">
        <v>234598</v>
      </c>
      <c r="B55" s="2" t="s">
        <v>101</v>
      </c>
      <c r="C55" s="2" t="s">
        <v>102</v>
      </c>
      <c r="D55" s="2" t="s">
        <v>40</v>
      </c>
    </row>
    <row r="56" spans="1:4" x14ac:dyDescent="0.25">
      <c r="A56" s="2">
        <v>234599</v>
      </c>
      <c r="B56" s="2" t="s">
        <v>103</v>
      </c>
      <c r="C56" s="2" t="s">
        <v>104</v>
      </c>
      <c r="D56" s="2" t="s">
        <v>38</v>
      </c>
    </row>
    <row r="57" spans="1:4" x14ac:dyDescent="0.25">
      <c r="A57" s="2">
        <v>234600</v>
      </c>
      <c r="B57" s="2" t="s">
        <v>105</v>
      </c>
      <c r="C57" s="2" t="s">
        <v>106</v>
      </c>
      <c r="D57" s="2" t="s">
        <v>26</v>
      </c>
    </row>
    <row r="58" spans="1:4" x14ac:dyDescent="0.25">
      <c r="A58" s="2">
        <v>234601</v>
      </c>
      <c r="B58" s="2" t="s">
        <v>107</v>
      </c>
      <c r="C58" s="2" t="s">
        <v>108</v>
      </c>
      <c r="D58" s="2" t="s">
        <v>25</v>
      </c>
    </row>
    <row r="59" spans="1:4" x14ac:dyDescent="0.25">
      <c r="A59" s="2">
        <v>234602</v>
      </c>
      <c r="B59" s="2" t="s">
        <v>109</v>
      </c>
      <c r="C59" s="2" t="s">
        <v>110</v>
      </c>
      <c r="D59" s="2" t="s">
        <v>26</v>
      </c>
    </row>
    <row r="60" spans="1:4" x14ac:dyDescent="0.25">
      <c r="A60" s="2">
        <v>234603</v>
      </c>
      <c r="B60" s="2" t="s">
        <v>111</v>
      </c>
      <c r="C60" s="2" t="s">
        <v>112</v>
      </c>
      <c r="D60" s="2" t="s">
        <v>27</v>
      </c>
    </row>
    <row r="61" spans="1:4" x14ac:dyDescent="0.25">
      <c r="A61" s="2">
        <v>234604</v>
      </c>
      <c r="B61" s="2" t="s">
        <v>113</v>
      </c>
      <c r="C61" s="2" t="s">
        <v>114</v>
      </c>
      <c r="D61" s="2" t="s">
        <v>28</v>
      </c>
    </row>
    <row r="62" spans="1:4" x14ac:dyDescent="0.25">
      <c r="A62" s="2">
        <v>234605</v>
      </c>
      <c r="B62" s="2" t="s">
        <v>115</v>
      </c>
      <c r="C62" s="2" t="s">
        <v>116</v>
      </c>
      <c r="D62" s="2" t="s">
        <v>31</v>
      </c>
    </row>
    <row r="63" spans="1:4" x14ac:dyDescent="0.25">
      <c r="A63" s="2">
        <v>234606</v>
      </c>
      <c r="B63" s="2" t="s">
        <v>117</v>
      </c>
      <c r="C63" s="2" t="s">
        <v>118</v>
      </c>
      <c r="D63" s="2" t="s">
        <v>25</v>
      </c>
    </row>
    <row r="64" spans="1:4" x14ac:dyDescent="0.25">
      <c r="A64" s="2">
        <v>234607</v>
      </c>
      <c r="B64" s="2" t="s">
        <v>119</v>
      </c>
      <c r="C64" s="2" t="s">
        <v>120</v>
      </c>
      <c r="D64" s="2" t="s">
        <v>26</v>
      </c>
    </row>
    <row r="65" spans="1:4" x14ac:dyDescent="0.25">
      <c r="A65" s="2">
        <v>234608</v>
      </c>
      <c r="B65" s="2" t="s">
        <v>121</v>
      </c>
      <c r="C65" s="2" t="s">
        <v>122</v>
      </c>
      <c r="D65" s="2" t="s">
        <v>27</v>
      </c>
    </row>
    <row r="66" spans="1:4" x14ac:dyDescent="0.25">
      <c r="A66" s="2">
        <v>234609</v>
      </c>
      <c r="B66" s="2" t="s">
        <v>123</v>
      </c>
      <c r="C66" s="2" t="s">
        <v>124</v>
      </c>
      <c r="D66" s="2" t="s">
        <v>28</v>
      </c>
    </row>
    <row r="67" spans="1:4" x14ac:dyDescent="0.25">
      <c r="A67" s="2">
        <v>234610</v>
      </c>
      <c r="B67" s="2" t="s">
        <v>125</v>
      </c>
      <c r="C67" s="2" t="s">
        <v>126</v>
      </c>
      <c r="D67" s="2" t="s">
        <v>31</v>
      </c>
    </row>
    <row r="68" spans="1:4" x14ac:dyDescent="0.25">
      <c r="A68" s="2">
        <v>234611</v>
      </c>
      <c r="B68" s="2" t="s">
        <v>127</v>
      </c>
      <c r="C68" s="2" t="s">
        <v>128</v>
      </c>
      <c r="D68" s="2" t="s">
        <v>25</v>
      </c>
    </row>
    <row r="69" spans="1:4" x14ac:dyDescent="0.25">
      <c r="A69" s="2">
        <v>234612</v>
      </c>
      <c r="B69" s="2" t="s">
        <v>129</v>
      </c>
      <c r="C69" s="2" t="s">
        <v>130</v>
      </c>
      <c r="D69" s="2" t="s">
        <v>26</v>
      </c>
    </row>
    <row r="70" spans="1:4" x14ac:dyDescent="0.25">
      <c r="A70" s="2">
        <v>234613</v>
      </c>
      <c r="B70" s="2" t="s">
        <v>131</v>
      </c>
      <c r="C70" s="2" t="s">
        <v>132</v>
      </c>
      <c r="D70" s="2" t="s">
        <v>27</v>
      </c>
    </row>
    <row r="71" spans="1:4" x14ac:dyDescent="0.25">
      <c r="A71" s="2">
        <v>234614</v>
      </c>
      <c r="B71" s="2" t="s">
        <v>133</v>
      </c>
      <c r="C71" s="2" t="s">
        <v>134</v>
      </c>
      <c r="D71" s="2" t="s">
        <v>28</v>
      </c>
    </row>
    <row r="72" spans="1:4" x14ac:dyDescent="0.25">
      <c r="A72" s="2">
        <v>234615</v>
      </c>
      <c r="B72" s="2" t="s">
        <v>135</v>
      </c>
      <c r="C72" s="2" t="s">
        <v>136</v>
      </c>
      <c r="D72" s="2" t="s">
        <v>31</v>
      </c>
    </row>
    <row r="73" spans="1:4" x14ac:dyDescent="0.25">
      <c r="A73" s="2">
        <v>234616</v>
      </c>
      <c r="B73" s="2" t="s">
        <v>137</v>
      </c>
      <c r="C73" s="2" t="s">
        <v>138</v>
      </c>
      <c r="D73" s="2" t="s">
        <v>25</v>
      </c>
    </row>
    <row r="74" spans="1:4" x14ac:dyDescent="0.25">
      <c r="A74" s="2">
        <v>234617</v>
      </c>
      <c r="B74" s="2" t="s">
        <v>139</v>
      </c>
      <c r="C74" s="2" t="s">
        <v>140</v>
      </c>
      <c r="D74" s="2" t="s">
        <v>26</v>
      </c>
    </row>
    <row r="75" spans="1:4" x14ac:dyDescent="0.25">
      <c r="A75" s="2">
        <v>234618</v>
      </c>
      <c r="B75" s="2" t="s">
        <v>141</v>
      </c>
      <c r="C75" s="2" t="s">
        <v>142</v>
      </c>
      <c r="D75" s="2" t="s">
        <v>27</v>
      </c>
    </row>
    <row r="76" spans="1:4" x14ac:dyDescent="0.25">
      <c r="A76" s="2">
        <v>234619</v>
      </c>
      <c r="B76" s="2" t="s">
        <v>143</v>
      </c>
      <c r="C76" s="2" t="s">
        <v>144</v>
      </c>
      <c r="D76" s="2" t="s">
        <v>28</v>
      </c>
    </row>
    <row r="77" spans="1:4" x14ac:dyDescent="0.25">
      <c r="A77" s="2">
        <v>234620</v>
      </c>
      <c r="B77" s="2" t="s">
        <v>145</v>
      </c>
      <c r="C77" s="2" t="s">
        <v>146</v>
      </c>
      <c r="D77" s="2" t="s">
        <v>31</v>
      </c>
    </row>
    <row r="78" spans="1:4" x14ac:dyDescent="0.25">
      <c r="A78" s="2">
        <v>234621</v>
      </c>
      <c r="B78" s="2" t="s">
        <v>147</v>
      </c>
      <c r="C78" s="2" t="s">
        <v>148</v>
      </c>
      <c r="D78" s="2" t="s">
        <v>25</v>
      </c>
    </row>
    <row r="79" spans="1:4" x14ac:dyDescent="0.25">
      <c r="A79" s="2">
        <v>234622</v>
      </c>
      <c r="B79" s="2" t="s">
        <v>149</v>
      </c>
      <c r="C79" s="2" t="s">
        <v>150</v>
      </c>
      <c r="D79" s="2" t="s">
        <v>26</v>
      </c>
    </row>
    <row r="80" spans="1:4" x14ac:dyDescent="0.25">
      <c r="A80" s="2">
        <v>234623</v>
      </c>
      <c r="B80" s="2" t="s">
        <v>151</v>
      </c>
      <c r="C80" s="2" t="s">
        <v>152</v>
      </c>
      <c r="D80" s="2" t="s">
        <v>27</v>
      </c>
    </row>
    <row r="81" spans="1:4" x14ac:dyDescent="0.25">
      <c r="A81" s="2">
        <v>234624</v>
      </c>
      <c r="B81" s="2" t="s">
        <v>153</v>
      </c>
      <c r="C81" s="2" t="s">
        <v>154</v>
      </c>
      <c r="D81" s="2" t="s">
        <v>28</v>
      </c>
    </row>
    <row r="82" spans="1:4" x14ac:dyDescent="0.25">
      <c r="A82" s="2">
        <v>234625</v>
      </c>
      <c r="B82" s="2" t="s">
        <v>155</v>
      </c>
      <c r="C82" s="2" t="s">
        <v>156</v>
      </c>
      <c r="D82" s="2" t="s">
        <v>31</v>
      </c>
    </row>
  </sheetData>
  <phoneticPr fontId="1" type="noConversion"/>
  <conditionalFormatting sqref="A1">
    <cfRule type="duplicateValues" dxfId="5" priority="1"/>
  </conditionalFormatting>
  <dataValidations count="3">
    <dataValidation type="textLength" operator="lessThanOrEqual" showInputMessage="1" showErrorMessage="1" errorTitle="Длина превышена" error="Это значение должно иметь длину 100 или меньше символов." promptTitle="Текст (обязательные)" prompt="Максимальная длина: 100 символов." sqref="C2:C82" xr:uid="{8E84951B-F6E7-4421-AD02-FC47889B5557}">
      <formula1>100</formula1>
    </dataValidation>
    <dataValidation showInputMessage="1" showErrorMessage="1" error=" " promptTitle="Поиск (обязательные)" prompt="Эта запись Клиент должна уже существовать в Microsoft Dynamics 365 или в этом исходном файле." sqref="B2:B82" xr:uid="{FE14398A-C89C-4A84-893B-3D9578D7B7BC}"/>
    <dataValidation type="textLength" operator="lessThanOrEqual" showInputMessage="1" showErrorMessage="1" errorTitle="Длина превышена" error="Это значение должно иметь длину 20 или меньше символов." promptTitle="Текст (обязательные)" prompt="Максимальная длина: 20 символов." sqref="A2:A6" xr:uid="{486B12D7-C436-4732-BAD0-D9E82174C03D}">
      <formula1>20</formula1>
    </dataValidation>
  </dataValidations>
  <hyperlinks>
    <hyperlink ref="C15" r:id="rId1" xr:uid="{A359343F-EB42-4286-BE1B-0121759B80C7}"/>
    <hyperlink ref="C16:C25" r:id="rId2" display="115@mail.com" xr:uid="{A19C7C7B-663C-43C4-A482-03EA6F042AA9}"/>
    <hyperlink ref="C22" r:id="rId3" xr:uid="{D7FFACAF-BD4A-4904-87D0-8359B8C8013E}"/>
    <hyperlink ref="C23" r:id="rId4" xr:uid="{15593AE1-41BB-4460-B591-A2CFA6AFAD46}"/>
    <hyperlink ref="C24" r:id="rId5" xr:uid="{AB3FE267-C02E-4974-ADB6-A232289F4EFE}"/>
    <hyperlink ref="C25" r:id="rId6" xr:uid="{0B588890-2E2F-4306-A927-83EEF5450563}"/>
    <hyperlink ref="C26" r:id="rId7" xr:uid="{6E56D0EB-99FF-4BB1-8B83-58E76ADDA322}"/>
    <hyperlink ref="C27" r:id="rId8" xr:uid="{FB301604-50B9-4C71-84A2-B034A085DB4C}"/>
    <hyperlink ref="C28" r:id="rId9" xr:uid="{16F7B8C8-9010-4EDD-9F8F-91DC516FD5B6}"/>
    <hyperlink ref="C29" r:id="rId10" xr:uid="{3B91E092-2312-46D8-AD19-2599BBED2ED5}"/>
    <hyperlink ref="C30" r:id="rId11" xr:uid="{9A6052DB-9CF9-416B-AF14-DD5348848763}"/>
    <hyperlink ref="C31" r:id="rId12" xr:uid="{2632BDA4-173A-4EA6-A296-57C8BE1F5019}"/>
    <hyperlink ref="C32" r:id="rId13" xr:uid="{4A363B43-4B66-4444-A0C2-ED0CDCD932BC}"/>
    <hyperlink ref="C33" r:id="rId14" xr:uid="{233FD430-57AD-451F-BA93-3965C0C820CB}"/>
    <hyperlink ref="C34" r:id="rId15" xr:uid="{44B359B9-7554-41AF-A9EA-4932EB48D48A}"/>
    <hyperlink ref="C35" r:id="rId16" xr:uid="{82C2ED53-78DD-4E3B-8602-37EF0D5AB94E}"/>
    <hyperlink ref="C36" r:id="rId17" xr:uid="{4C48C630-2BF7-4C4F-95FB-C9D895FF4F03}"/>
    <hyperlink ref="C37:C38" r:id="rId18" display="128@mail.com" xr:uid="{25A43849-5CB8-489F-AD6C-080B919BEC91}"/>
    <hyperlink ref="C39" r:id="rId19" xr:uid="{FF271636-22B9-4CF5-BD0C-D5D63B521454}"/>
    <hyperlink ref="C40" r:id="rId20" xr:uid="{631BD376-9755-4486-A219-71BE604CCCAF}"/>
    <hyperlink ref="C41" r:id="rId21" xr:uid="{F3CB6E5A-B4AB-4729-A68B-620A7F13A064}"/>
    <hyperlink ref="C42" r:id="rId22" xr:uid="{2E37804B-1BEF-4097-BF30-3A268570AC73}"/>
    <hyperlink ref="C43" r:id="rId23" xr:uid="{194C8B1E-3A38-4AC5-87AA-A0419F6AE729}"/>
    <hyperlink ref="C44" r:id="rId24" xr:uid="{FE528E40-9EF2-436F-8232-E08642C0ADAC}"/>
    <hyperlink ref="C45" r:id="rId25" xr:uid="{6B082824-8244-43FC-BA85-E5481B2FE351}"/>
    <hyperlink ref="C46" r:id="rId26" xr:uid="{A0ED2E87-3615-421B-83F9-DB0AD4D4FE19}"/>
    <hyperlink ref="C47" r:id="rId27" xr:uid="{6CFBF3C5-B74C-438C-AC97-22A81DEC494F}"/>
    <hyperlink ref="C48" r:id="rId28" xr:uid="{F443BEF0-4B0F-4F08-8CCD-958E955AFCD4}"/>
    <hyperlink ref="C49" r:id="rId29" xr:uid="{05ED8111-C754-4D81-9A45-425E23CE6D21}"/>
    <hyperlink ref="C50" r:id="rId30" xr:uid="{A2C8B387-70B9-40C4-BF26-C51F4D4E5223}"/>
    <hyperlink ref="C51" r:id="rId31" xr:uid="{AF4F9C4B-0EA5-4C24-9F03-657DA2FF172E}"/>
    <hyperlink ref="C52" r:id="rId32" xr:uid="{5942FE10-813E-4DF5-A00B-514869A297B8}"/>
    <hyperlink ref="C53" r:id="rId33" xr:uid="{FB56984F-82EA-4B0B-BA0F-DA9B01B2F6B2}"/>
    <hyperlink ref="C54" r:id="rId34" xr:uid="{DA9AE37C-9608-48C3-A2F1-4EBA093C1F7C}"/>
    <hyperlink ref="C55" r:id="rId35" xr:uid="{5878B7AE-719F-4E7E-803C-F98A4E7493C3}"/>
    <hyperlink ref="C56" r:id="rId36" xr:uid="{BD42FC9A-529F-4593-BE84-B9601A8A8FB5}"/>
    <hyperlink ref="C57" r:id="rId37" xr:uid="{43166090-8380-45CB-B717-12D5F9C98F3C}"/>
    <hyperlink ref="C58" r:id="rId38" xr:uid="{C193045C-6A44-44E9-A3CE-B03FBEE60395}"/>
    <hyperlink ref="C59" r:id="rId39" xr:uid="{817789E6-AE29-4005-8098-E398487674C9}"/>
    <hyperlink ref="C60" r:id="rId40" xr:uid="{02BB779F-0FE4-4E8D-B2F2-8D601543CBFC}"/>
    <hyperlink ref="C61" r:id="rId41" xr:uid="{DB8993C1-98BD-488F-A3F6-517E438F3F75}"/>
    <hyperlink ref="C62" r:id="rId42" xr:uid="{ABB1E813-3C1E-4765-9738-92B465F0ED4D}"/>
    <hyperlink ref="C63" r:id="rId43" xr:uid="{C0B21984-8FFA-412E-8AC0-24F066AE3F6E}"/>
    <hyperlink ref="C64" r:id="rId44" xr:uid="{ACCF2163-A39E-479F-B88E-155C453A96C3}"/>
    <hyperlink ref="C65" r:id="rId45" xr:uid="{93254A91-D483-48EC-BBC9-83063BAF6D1E}"/>
    <hyperlink ref="C66" r:id="rId46" xr:uid="{55C80B3C-2D66-453E-81ED-69ACFCE9B921}"/>
    <hyperlink ref="C67" r:id="rId47" xr:uid="{DCCA8A4B-E702-45BB-B6DF-8750B941DAEB}"/>
    <hyperlink ref="C68" r:id="rId48" xr:uid="{602DD34D-3F2E-4DC8-9864-649A22589ACC}"/>
    <hyperlink ref="C69" r:id="rId49" xr:uid="{A2E1BFA9-50D7-4AAC-B273-1986395B1186}"/>
    <hyperlink ref="C70" r:id="rId50" xr:uid="{C97686B2-7F24-4279-B236-F8AA9CA92D8B}"/>
    <hyperlink ref="C71" r:id="rId51" xr:uid="{DA68B582-96ED-4640-8309-E3DB106B0969}"/>
    <hyperlink ref="C72" r:id="rId52" xr:uid="{16FA5979-E1E3-4D0C-BBF2-92470D8F0E36}"/>
    <hyperlink ref="C73" r:id="rId53" xr:uid="{8520C7E4-777A-43D3-AB08-274880612E2F}"/>
    <hyperlink ref="C74" r:id="rId54" xr:uid="{031DC485-CB43-41A1-A944-7DD5B71F0CC2}"/>
    <hyperlink ref="C75" r:id="rId55" xr:uid="{66B75869-7D23-45EC-9205-F79EA8D60F09}"/>
    <hyperlink ref="C76" r:id="rId56" xr:uid="{F6F94710-5995-47BA-B039-0324D0060B94}"/>
    <hyperlink ref="C77" r:id="rId57" xr:uid="{BA5EB748-573D-4092-916F-9E7DFD9A8111}"/>
    <hyperlink ref="C78" r:id="rId58" xr:uid="{7C940E0D-66C5-4BE0-8CA7-D007E34AA6C5}"/>
    <hyperlink ref="C79" r:id="rId59" xr:uid="{BC2C3435-2C7C-4694-B32C-0CDE388A8DA3}"/>
    <hyperlink ref="C80" r:id="rId60" xr:uid="{F4BB6795-AE8F-473E-A7EB-FE5426FAAE5E}"/>
    <hyperlink ref="C81" r:id="rId61" xr:uid="{B0663CF7-4A56-4783-893A-038F7620D01D}"/>
    <hyperlink ref="C82" r:id="rId62" xr:uid="{084FB4B6-1CC1-4698-B8A0-EC1D71125FDA}"/>
  </hyperlinks>
  <pageMargins left="0.7" right="0.7" top="0.75" bottom="0.75" header="0.3" footer="0.3"/>
  <tableParts count="1">
    <tablePart r:id="rId6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74A8-620D-4C09-A349-5AF1C0F1669C}">
  <sheetPr>
    <tabColor theme="5" tint="0.59999389629810485"/>
  </sheetPr>
  <dimension ref="A1:H61"/>
  <sheetViews>
    <sheetView workbookViewId="0">
      <selection activeCell="G21" sqref="G21"/>
    </sheetView>
  </sheetViews>
  <sheetFormatPr defaultRowHeight="15.75" x14ac:dyDescent="0.25"/>
  <cols>
    <col min="1" max="1" width="19" style="2" bestFit="1" customWidth="1"/>
    <col min="2" max="2" width="7.7109375" style="3" bestFit="1" customWidth="1"/>
    <col min="3" max="3" width="9.42578125" style="2" customWidth="1"/>
    <col min="4" max="4" width="9.7109375" style="2" bestFit="1" customWidth="1"/>
    <col min="5" max="5" width="17.5703125" style="2" customWidth="1"/>
    <col min="6" max="6" width="13.7109375" style="2" customWidth="1"/>
    <col min="7" max="7" width="32" style="2" bestFit="1" customWidth="1"/>
    <col min="8" max="8" width="13.7109375" style="2" customWidth="1"/>
  </cols>
  <sheetData>
    <row r="1" spans="1:8" x14ac:dyDescent="0.25">
      <c r="A1" s="15" t="s">
        <v>157</v>
      </c>
      <c r="B1" s="16" t="s">
        <v>18</v>
      </c>
      <c r="C1" s="17" t="s">
        <v>19</v>
      </c>
      <c r="D1" s="17" t="s">
        <v>158</v>
      </c>
      <c r="E1" s="17" t="s">
        <v>159</v>
      </c>
      <c r="F1" s="17" t="s">
        <v>160</v>
      </c>
      <c r="G1" s="17" t="s">
        <v>161</v>
      </c>
      <c r="H1" s="17" t="s">
        <v>162</v>
      </c>
    </row>
    <row r="2" spans="1:8" x14ac:dyDescent="0.25">
      <c r="A2" s="2" t="s">
        <v>163</v>
      </c>
      <c r="B2" s="2">
        <v>123123</v>
      </c>
      <c r="C2" s="2" t="s">
        <v>22</v>
      </c>
      <c r="D2" s="2" t="s">
        <v>164</v>
      </c>
      <c r="E2" s="2">
        <v>117087</v>
      </c>
      <c r="F2" s="2" t="s">
        <v>165</v>
      </c>
      <c r="G2" s="2" t="s">
        <v>166</v>
      </c>
      <c r="H2" s="2">
        <v>635</v>
      </c>
    </row>
    <row r="3" spans="1:8" x14ac:dyDescent="0.25">
      <c r="A3" s="2" t="s">
        <v>163</v>
      </c>
      <c r="B3" s="2">
        <v>234567</v>
      </c>
      <c r="C3" s="2" t="s">
        <v>29</v>
      </c>
      <c r="D3" s="2" t="s">
        <v>167</v>
      </c>
      <c r="E3" s="2">
        <v>117099</v>
      </c>
      <c r="F3" s="2" t="s">
        <v>168</v>
      </c>
      <c r="G3" s="2" t="s">
        <v>166</v>
      </c>
      <c r="H3" s="2">
        <v>76.2</v>
      </c>
    </row>
    <row r="4" spans="1:8" x14ac:dyDescent="0.25">
      <c r="A4" s="2" t="s">
        <v>169</v>
      </c>
      <c r="B4" s="2">
        <v>234568</v>
      </c>
      <c r="C4" s="2" t="s">
        <v>32</v>
      </c>
      <c r="D4" s="2" t="s">
        <v>164</v>
      </c>
      <c r="E4" s="2">
        <v>117111</v>
      </c>
      <c r="F4" s="2" t="s">
        <v>165</v>
      </c>
      <c r="G4" s="2" t="s">
        <v>166</v>
      </c>
      <c r="H4" s="2">
        <v>254</v>
      </c>
    </row>
    <row r="5" spans="1:8" x14ac:dyDescent="0.25">
      <c r="A5" s="2" t="s">
        <v>170</v>
      </c>
      <c r="B5" s="2">
        <v>234569</v>
      </c>
      <c r="C5" s="2" t="s">
        <v>36</v>
      </c>
      <c r="D5" s="2" t="s">
        <v>167</v>
      </c>
      <c r="E5" s="2">
        <v>117123</v>
      </c>
      <c r="F5" s="2" t="s">
        <v>168</v>
      </c>
      <c r="G5" s="2" t="s">
        <v>171</v>
      </c>
      <c r="H5" s="2">
        <v>381</v>
      </c>
    </row>
    <row r="6" spans="1:8" x14ac:dyDescent="0.25">
      <c r="A6" s="2" t="s">
        <v>172</v>
      </c>
      <c r="B6" s="2">
        <v>234570</v>
      </c>
      <c r="C6" s="2" t="s">
        <v>41</v>
      </c>
      <c r="D6" s="2" t="s">
        <v>164</v>
      </c>
      <c r="E6" s="2">
        <v>117135</v>
      </c>
      <c r="F6" s="2" t="s">
        <v>165</v>
      </c>
      <c r="G6" s="2" t="s">
        <v>173</v>
      </c>
      <c r="H6" s="2">
        <v>889</v>
      </c>
    </row>
    <row r="7" spans="1:8" x14ac:dyDescent="0.25">
      <c r="A7" s="2" t="s">
        <v>174</v>
      </c>
      <c r="B7" s="2">
        <v>234571</v>
      </c>
      <c r="C7" s="2" t="s">
        <v>46</v>
      </c>
      <c r="D7" s="2" t="s">
        <v>167</v>
      </c>
      <c r="E7" s="2">
        <v>117147</v>
      </c>
      <c r="F7" s="2" t="s">
        <v>168</v>
      </c>
      <c r="G7" s="2" t="s">
        <v>175</v>
      </c>
      <c r="H7" s="2">
        <v>76.2</v>
      </c>
    </row>
    <row r="8" spans="1:8" x14ac:dyDescent="0.25">
      <c r="A8" s="2" t="s">
        <v>163</v>
      </c>
      <c r="B8" s="2">
        <v>234572</v>
      </c>
      <c r="C8" s="2" t="s">
        <v>48</v>
      </c>
      <c r="D8" s="2" t="s">
        <v>164</v>
      </c>
      <c r="E8" s="2">
        <v>117159</v>
      </c>
      <c r="F8" s="2" t="s">
        <v>165</v>
      </c>
      <c r="G8" s="2" t="s">
        <v>175</v>
      </c>
      <c r="H8" s="2">
        <v>127</v>
      </c>
    </row>
    <row r="9" spans="1:8" x14ac:dyDescent="0.25">
      <c r="A9" s="2" t="s">
        <v>163</v>
      </c>
      <c r="B9" s="2">
        <v>234573</v>
      </c>
      <c r="C9" s="2" t="s">
        <v>50</v>
      </c>
      <c r="D9" s="2" t="s">
        <v>167</v>
      </c>
      <c r="E9" s="2">
        <v>117171</v>
      </c>
      <c r="F9" s="2" t="s">
        <v>168</v>
      </c>
      <c r="G9" s="2" t="s">
        <v>175</v>
      </c>
      <c r="H9" s="2">
        <v>76.2</v>
      </c>
    </row>
    <row r="10" spans="1:8" x14ac:dyDescent="0.25">
      <c r="A10" s="2" t="s">
        <v>163</v>
      </c>
      <c r="B10" s="2">
        <v>234574</v>
      </c>
      <c r="C10" s="2" t="s">
        <v>52</v>
      </c>
      <c r="D10" s="2" t="s">
        <v>167</v>
      </c>
      <c r="E10" s="2">
        <v>117183</v>
      </c>
      <c r="F10" s="2" t="s">
        <v>165</v>
      </c>
      <c r="G10" s="2" t="s">
        <v>176</v>
      </c>
      <c r="H10" s="2">
        <v>76.2</v>
      </c>
    </row>
    <row r="11" spans="1:8" x14ac:dyDescent="0.25">
      <c r="A11" s="2" t="s">
        <v>163</v>
      </c>
      <c r="B11" s="2">
        <v>234575</v>
      </c>
      <c r="C11" s="2" t="s">
        <v>54</v>
      </c>
      <c r="D11" s="2" t="s">
        <v>167</v>
      </c>
      <c r="E11" s="2">
        <v>117195</v>
      </c>
      <c r="F11" s="2" t="s">
        <v>168</v>
      </c>
      <c r="G11" s="2" t="s">
        <v>175</v>
      </c>
      <c r="H11" s="2">
        <v>76.2</v>
      </c>
    </row>
    <row r="12" spans="1:8" x14ac:dyDescent="0.25">
      <c r="A12" s="2" t="s">
        <v>163</v>
      </c>
      <c r="B12" s="2">
        <v>234576</v>
      </c>
      <c r="C12" s="2" t="s">
        <v>56</v>
      </c>
      <c r="D12" s="2" t="s">
        <v>167</v>
      </c>
      <c r="E12" s="2">
        <v>117207</v>
      </c>
      <c r="F12" s="2" t="s">
        <v>165</v>
      </c>
      <c r="G12" s="2" t="s">
        <v>173</v>
      </c>
      <c r="H12" s="2">
        <v>76.2</v>
      </c>
    </row>
    <row r="13" spans="1:8" x14ac:dyDescent="0.25">
      <c r="A13" s="2" t="s">
        <v>172</v>
      </c>
      <c r="B13" s="2">
        <v>234577</v>
      </c>
      <c r="C13" s="2" t="s">
        <v>58</v>
      </c>
      <c r="D13" s="2" t="s">
        <v>167</v>
      </c>
      <c r="E13" s="2">
        <v>117219</v>
      </c>
      <c r="F13" s="2" t="s">
        <v>168</v>
      </c>
      <c r="G13" s="2" t="s">
        <v>176</v>
      </c>
      <c r="H13" s="2">
        <v>76.2</v>
      </c>
    </row>
    <row r="14" spans="1:8" x14ac:dyDescent="0.25">
      <c r="A14" s="2" t="s">
        <v>174</v>
      </c>
      <c r="B14" s="2">
        <v>234578</v>
      </c>
      <c r="C14" s="2" t="s">
        <v>60</v>
      </c>
      <c r="D14" s="2" t="s">
        <v>167</v>
      </c>
      <c r="E14" s="2">
        <v>117231</v>
      </c>
      <c r="F14" s="2" t="s">
        <v>165</v>
      </c>
      <c r="G14" s="2" t="s">
        <v>177</v>
      </c>
      <c r="H14" s="2">
        <v>76.2</v>
      </c>
    </row>
    <row r="15" spans="1:8" x14ac:dyDescent="0.25">
      <c r="A15" s="2" t="s">
        <v>163</v>
      </c>
      <c r="B15" s="2">
        <v>234579</v>
      </c>
      <c r="C15" s="2" t="s">
        <v>62</v>
      </c>
      <c r="D15" s="2" t="s">
        <v>164</v>
      </c>
      <c r="E15" s="2">
        <v>117243</v>
      </c>
      <c r="F15" s="2" t="s">
        <v>168</v>
      </c>
      <c r="G15" s="2" t="s">
        <v>166</v>
      </c>
      <c r="H15" s="2">
        <v>127</v>
      </c>
    </row>
    <row r="16" spans="1:8" x14ac:dyDescent="0.25">
      <c r="A16" s="2" t="s">
        <v>163</v>
      </c>
      <c r="B16" s="2">
        <v>234580</v>
      </c>
      <c r="C16" s="2" t="s">
        <v>64</v>
      </c>
      <c r="D16" s="2" t="s">
        <v>164</v>
      </c>
      <c r="E16" s="2">
        <v>117255</v>
      </c>
      <c r="F16" s="2" t="s">
        <v>165</v>
      </c>
      <c r="G16" s="2" t="s">
        <v>175</v>
      </c>
      <c r="H16" s="2">
        <v>127</v>
      </c>
    </row>
    <row r="17" spans="1:8" x14ac:dyDescent="0.25">
      <c r="A17" s="2" t="s">
        <v>174</v>
      </c>
      <c r="B17" s="2">
        <v>234581</v>
      </c>
      <c r="C17" s="2" t="s">
        <v>66</v>
      </c>
      <c r="D17" s="2" t="s">
        <v>164</v>
      </c>
      <c r="E17" s="2">
        <v>117267</v>
      </c>
      <c r="F17" s="2" t="s">
        <v>168</v>
      </c>
      <c r="G17" s="2" t="s">
        <v>177</v>
      </c>
      <c r="H17" s="2">
        <v>254</v>
      </c>
    </row>
    <row r="18" spans="1:8" x14ac:dyDescent="0.25">
      <c r="A18" s="2" t="s">
        <v>169</v>
      </c>
      <c r="B18" s="2">
        <v>234582</v>
      </c>
      <c r="C18" s="2" t="s">
        <v>68</v>
      </c>
      <c r="D18" s="2" t="s">
        <v>164</v>
      </c>
      <c r="E18" s="2">
        <v>117279</v>
      </c>
      <c r="F18" s="2" t="s">
        <v>165</v>
      </c>
      <c r="G18" s="2" t="s">
        <v>171</v>
      </c>
      <c r="H18" s="2">
        <v>254</v>
      </c>
    </row>
    <row r="19" spans="1:8" x14ac:dyDescent="0.25">
      <c r="A19" s="2" t="s">
        <v>163</v>
      </c>
      <c r="B19" s="2">
        <v>234583</v>
      </c>
      <c r="C19" s="2" t="s">
        <v>70</v>
      </c>
      <c r="D19" s="2" t="s">
        <v>164</v>
      </c>
      <c r="E19" s="2">
        <v>117291</v>
      </c>
      <c r="F19" s="2" t="s">
        <v>168</v>
      </c>
      <c r="G19" s="2" t="s">
        <v>175</v>
      </c>
      <c r="H19" s="2">
        <v>381</v>
      </c>
    </row>
    <row r="20" spans="1:8" x14ac:dyDescent="0.25">
      <c r="A20" s="2" t="s">
        <v>172</v>
      </c>
      <c r="B20" s="2">
        <v>234584</v>
      </c>
      <c r="C20" s="2" t="s">
        <v>72</v>
      </c>
      <c r="D20" s="2" t="s">
        <v>164</v>
      </c>
      <c r="E20" s="2">
        <v>117303</v>
      </c>
      <c r="F20" s="2" t="s">
        <v>165</v>
      </c>
      <c r="G20" s="2" t="s">
        <v>175</v>
      </c>
      <c r="H20" s="2">
        <v>254</v>
      </c>
    </row>
    <row r="21" spans="1:8" x14ac:dyDescent="0.25">
      <c r="A21" s="2" t="s">
        <v>174</v>
      </c>
      <c r="B21" s="2">
        <v>234585</v>
      </c>
      <c r="C21" s="2" t="s">
        <v>74</v>
      </c>
      <c r="D21" s="2" t="s">
        <v>164</v>
      </c>
      <c r="E21" s="2">
        <v>117315</v>
      </c>
      <c r="F21" s="2" t="s">
        <v>168</v>
      </c>
      <c r="G21" s="2" t="s">
        <v>178</v>
      </c>
      <c r="H21" s="2">
        <v>254</v>
      </c>
    </row>
    <row r="22" spans="1:8" x14ac:dyDescent="0.25">
      <c r="A22" s="2" t="s">
        <v>163</v>
      </c>
      <c r="B22" s="2">
        <v>234586</v>
      </c>
      <c r="C22" s="2" t="s">
        <v>76</v>
      </c>
      <c r="D22" s="2" t="s">
        <v>167</v>
      </c>
      <c r="E22" s="2">
        <v>117327</v>
      </c>
      <c r="F22" s="2" t="s">
        <v>165</v>
      </c>
      <c r="G22" s="2" t="s">
        <v>176</v>
      </c>
      <c r="H22" s="2">
        <v>76.2</v>
      </c>
    </row>
    <row r="23" spans="1:8" x14ac:dyDescent="0.25">
      <c r="A23" s="2" t="s">
        <v>163</v>
      </c>
      <c r="B23" s="2">
        <v>234587</v>
      </c>
      <c r="C23" s="2" t="s">
        <v>78</v>
      </c>
      <c r="D23" s="2" t="s">
        <v>167</v>
      </c>
      <c r="E23" s="2">
        <v>117339</v>
      </c>
      <c r="F23" s="2" t="s">
        <v>168</v>
      </c>
      <c r="G23" s="2" t="s">
        <v>179</v>
      </c>
      <c r="H23" s="2">
        <v>76.2</v>
      </c>
    </row>
    <row r="24" spans="1:8" x14ac:dyDescent="0.25">
      <c r="A24" s="2" t="s">
        <v>180</v>
      </c>
      <c r="B24" s="2">
        <v>234588</v>
      </c>
      <c r="C24" s="2" t="s">
        <v>81</v>
      </c>
      <c r="D24" s="2" t="s">
        <v>167</v>
      </c>
      <c r="E24" s="2">
        <v>117351</v>
      </c>
      <c r="F24" s="2" t="s">
        <v>165</v>
      </c>
      <c r="G24" s="2" t="s">
        <v>166</v>
      </c>
      <c r="H24" s="2">
        <v>76.2</v>
      </c>
    </row>
    <row r="25" spans="1:8" x14ac:dyDescent="0.25">
      <c r="A25" s="2" t="s">
        <v>169</v>
      </c>
      <c r="B25" s="2">
        <v>234589</v>
      </c>
      <c r="C25" s="2" t="s">
        <v>83</v>
      </c>
      <c r="D25" s="2" t="s">
        <v>167</v>
      </c>
      <c r="E25" s="2">
        <v>117363</v>
      </c>
      <c r="F25" s="2" t="s">
        <v>168</v>
      </c>
      <c r="G25" s="2" t="s">
        <v>181</v>
      </c>
      <c r="H25" s="2">
        <v>76.2</v>
      </c>
    </row>
    <row r="26" spans="1:8" x14ac:dyDescent="0.25">
      <c r="A26" s="2" t="s">
        <v>163</v>
      </c>
      <c r="B26" s="2">
        <v>234590</v>
      </c>
      <c r="C26" s="2" t="s">
        <v>85</v>
      </c>
      <c r="D26" s="2" t="s">
        <v>164</v>
      </c>
      <c r="E26" s="2">
        <v>117375</v>
      </c>
      <c r="F26" s="2" t="s">
        <v>168</v>
      </c>
      <c r="G26" s="2" t="s">
        <v>175</v>
      </c>
      <c r="H26" s="2">
        <v>127</v>
      </c>
    </row>
    <row r="27" spans="1:8" x14ac:dyDescent="0.25">
      <c r="A27" s="2" t="s">
        <v>172</v>
      </c>
      <c r="B27" s="2">
        <v>234591</v>
      </c>
      <c r="C27" s="2" t="s">
        <v>87</v>
      </c>
      <c r="D27" s="2" t="s">
        <v>164</v>
      </c>
      <c r="E27" s="2">
        <v>117387</v>
      </c>
      <c r="F27" s="2" t="s">
        <v>165</v>
      </c>
      <c r="G27" s="2" t="s">
        <v>173</v>
      </c>
      <c r="H27" s="2">
        <v>127</v>
      </c>
    </row>
    <row r="28" spans="1:8" x14ac:dyDescent="0.25">
      <c r="A28" s="2" t="s">
        <v>174</v>
      </c>
      <c r="B28" s="2">
        <v>234592</v>
      </c>
      <c r="C28" s="2" t="s">
        <v>89</v>
      </c>
      <c r="D28" s="2" t="s">
        <v>167</v>
      </c>
      <c r="E28" s="2">
        <v>117399</v>
      </c>
      <c r="F28" s="2" t="s">
        <v>168</v>
      </c>
      <c r="G28" s="2" t="s">
        <v>177</v>
      </c>
      <c r="H28" s="2">
        <v>76.2</v>
      </c>
    </row>
    <row r="29" spans="1:8" x14ac:dyDescent="0.25">
      <c r="A29" s="2" t="s">
        <v>163</v>
      </c>
      <c r="B29" s="2">
        <v>234593</v>
      </c>
      <c r="C29" s="2" t="s">
        <v>91</v>
      </c>
      <c r="D29" s="2" t="s">
        <v>164</v>
      </c>
      <c r="E29" s="2">
        <v>117411</v>
      </c>
      <c r="F29" s="2" t="s">
        <v>165</v>
      </c>
      <c r="G29" s="2" t="s">
        <v>175</v>
      </c>
      <c r="H29" s="2">
        <v>127</v>
      </c>
    </row>
    <row r="30" spans="1:8" x14ac:dyDescent="0.25">
      <c r="A30" s="2" t="s">
        <v>180</v>
      </c>
      <c r="B30" s="2">
        <v>234594</v>
      </c>
      <c r="C30" s="2" t="s">
        <v>93</v>
      </c>
      <c r="D30" s="2" t="s">
        <v>167</v>
      </c>
      <c r="E30" s="2">
        <v>117423</v>
      </c>
      <c r="F30" s="2" t="s">
        <v>168</v>
      </c>
      <c r="G30" s="2" t="s">
        <v>166</v>
      </c>
      <c r="H30" s="2">
        <v>76.2</v>
      </c>
    </row>
    <row r="31" spans="1:8" x14ac:dyDescent="0.25">
      <c r="A31" s="2" t="s">
        <v>163</v>
      </c>
      <c r="B31" s="2">
        <v>234595</v>
      </c>
      <c r="C31" s="2" t="s">
        <v>95</v>
      </c>
      <c r="D31" s="2" t="s">
        <v>164</v>
      </c>
      <c r="E31" s="2">
        <v>117435</v>
      </c>
      <c r="F31" s="2" t="s">
        <v>165</v>
      </c>
      <c r="G31" s="2" t="s">
        <v>181</v>
      </c>
      <c r="H31" s="2">
        <v>127</v>
      </c>
    </row>
    <row r="32" spans="1:8" x14ac:dyDescent="0.25">
      <c r="A32" s="2" t="s">
        <v>169</v>
      </c>
      <c r="B32" s="2">
        <v>234596</v>
      </c>
      <c r="C32" s="2" t="s">
        <v>97</v>
      </c>
      <c r="D32" s="2" t="s">
        <v>167</v>
      </c>
      <c r="E32" s="2">
        <v>117447</v>
      </c>
      <c r="F32" s="2" t="s">
        <v>168</v>
      </c>
      <c r="G32" s="2" t="s">
        <v>182</v>
      </c>
      <c r="H32" s="2">
        <v>76.2</v>
      </c>
    </row>
    <row r="33" spans="1:8" x14ac:dyDescent="0.25">
      <c r="A33" s="2" t="s">
        <v>170</v>
      </c>
      <c r="B33" s="2">
        <v>234597</v>
      </c>
      <c r="C33" s="2" t="s">
        <v>99</v>
      </c>
      <c r="D33" s="2" t="s">
        <v>164</v>
      </c>
      <c r="E33" s="2">
        <v>117459</v>
      </c>
      <c r="F33" s="2" t="s">
        <v>168</v>
      </c>
      <c r="G33" s="2" t="s">
        <v>171</v>
      </c>
      <c r="H33" s="2">
        <v>127</v>
      </c>
    </row>
    <row r="34" spans="1:8" x14ac:dyDescent="0.25">
      <c r="A34" s="2" t="s">
        <v>172</v>
      </c>
      <c r="B34" s="2">
        <v>234598</v>
      </c>
      <c r="C34" s="2" t="s">
        <v>101</v>
      </c>
      <c r="D34" s="2" t="s">
        <v>167</v>
      </c>
      <c r="E34" s="2">
        <v>117471</v>
      </c>
      <c r="F34" s="2" t="s">
        <v>165</v>
      </c>
      <c r="G34" s="2" t="s">
        <v>176</v>
      </c>
      <c r="H34" s="2">
        <v>76.2</v>
      </c>
    </row>
    <row r="35" spans="1:8" x14ac:dyDescent="0.25">
      <c r="A35" s="2" t="s">
        <v>174</v>
      </c>
      <c r="B35" s="2">
        <v>234599</v>
      </c>
      <c r="C35" s="2" t="s">
        <v>103</v>
      </c>
      <c r="D35" s="2" t="s">
        <v>167</v>
      </c>
      <c r="E35" s="2">
        <v>117483</v>
      </c>
      <c r="F35" s="2" t="s">
        <v>168</v>
      </c>
      <c r="G35" s="2" t="s">
        <v>179</v>
      </c>
      <c r="H35" s="2">
        <v>76.2</v>
      </c>
    </row>
    <row r="36" spans="1:8" x14ac:dyDescent="0.25">
      <c r="A36" s="2" t="s">
        <v>163</v>
      </c>
      <c r="B36" s="2">
        <v>234600</v>
      </c>
      <c r="C36" s="2" t="s">
        <v>105</v>
      </c>
      <c r="D36" s="2" t="s">
        <v>167</v>
      </c>
      <c r="E36" s="2">
        <v>117495</v>
      </c>
      <c r="F36" s="2" t="s">
        <v>165</v>
      </c>
      <c r="G36" s="2" t="s">
        <v>175</v>
      </c>
      <c r="H36" s="2">
        <v>76.2</v>
      </c>
    </row>
    <row r="37" spans="1:8" x14ac:dyDescent="0.25">
      <c r="A37" s="2" t="s">
        <v>180</v>
      </c>
      <c r="B37" s="2">
        <v>234601</v>
      </c>
      <c r="C37" s="2" t="s">
        <v>107</v>
      </c>
      <c r="D37" s="2" t="s">
        <v>167</v>
      </c>
      <c r="E37" s="2">
        <v>117507</v>
      </c>
      <c r="F37" s="2" t="s">
        <v>168</v>
      </c>
      <c r="G37" s="2" t="s">
        <v>181</v>
      </c>
      <c r="H37" s="2">
        <v>76.2</v>
      </c>
    </row>
    <row r="38" spans="1:8" x14ac:dyDescent="0.25">
      <c r="A38" s="2" t="s">
        <v>180</v>
      </c>
      <c r="B38" s="2">
        <v>234602</v>
      </c>
      <c r="C38" s="2" t="s">
        <v>109</v>
      </c>
      <c r="D38" s="2" t="s">
        <v>167</v>
      </c>
      <c r="E38" s="2">
        <v>117519</v>
      </c>
      <c r="F38" s="2" t="s">
        <v>165</v>
      </c>
      <c r="G38" s="2" t="s">
        <v>181</v>
      </c>
      <c r="H38" s="2">
        <v>76.2</v>
      </c>
    </row>
    <row r="39" spans="1:8" x14ac:dyDescent="0.25">
      <c r="A39" s="2" t="s">
        <v>169</v>
      </c>
      <c r="B39" s="2">
        <v>234603</v>
      </c>
      <c r="C39" s="2" t="s">
        <v>111</v>
      </c>
      <c r="D39" s="2" t="s">
        <v>164</v>
      </c>
      <c r="E39" s="2">
        <v>117531</v>
      </c>
      <c r="F39" s="2" t="s">
        <v>168</v>
      </c>
      <c r="G39" s="2" t="s">
        <v>181</v>
      </c>
      <c r="H39" s="2">
        <v>127</v>
      </c>
    </row>
    <row r="40" spans="1:8" x14ac:dyDescent="0.25">
      <c r="A40" s="2" t="s">
        <v>163</v>
      </c>
      <c r="B40" s="2">
        <v>234604</v>
      </c>
      <c r="C40" s="2" t="s">
        <v>113</v>
      </c>
      <c r="D40" s="2" t="s">
        <v>164</v>
      </c>
      <c r="E40" s="2">
        <v>117543</v>
      </c>
      <c r="F40" s="2" t="s">
        <v>168</v>
      </c>
      <c r="G40" s="2" t="s">
        <v>175</v>
      </c>
      <c r="H40" s="2">
        <v>127</v>
      </c>
    </row>
    <row r="41" spans="1:8" x14ac:dyDescent="0.25">
      <c r="A41" s="2" t="s">
        <v>172</v>
      </c>
      <c r="B41" s="2">
        <v>234605</v>
      </c>
      <c r="C41" s="2" t="s">
        <v>115</v>
      </c>
      <c r="D41" s="2" t="s">
        <v>164</v>
      </c>
      <c r="E41" s="2">
        <v>117555</v>
      </c>
      <c r="F41" s="2" t="s">
        <v>165</v>
      </c>
      <c r="G41" s="2" t="s">
        <v>173</v>
      </c>
      <c r="H41" s="2">
        <v>127</v>
      </c>
    </row>
    <row r="42" spans="1:8" x14ac:dyDescent="0.25">
      <c r="A42" s="2" t="s">
        <v>163</v>
      </c>
      <c r="B42" s="2">
        <v>234606</v>
      </c>
      <c r="C42" s="2" t="s">
        <v>117</v>
      </c>
      <c r="D42" s="2" t="s">
        <v>164</v>
      </c>
      <c r="E42" s="2">
        <v>117567</v>
      </c>
      <c r="F42" s="2" t="s">
        <v>168</v>
      </c>
      <c r="G42" s="2" t="s">
        <v>175</v>
      </c>
      <c r="H42" s="2">
        <v>127</v>
      </c>
    </row>
    <row r="43" spans="1:8" x14ac:dyDescent="0.25">
      <c r="A43" s="2" t="s">
        <v>163</v>
      </c>
      <c r="B43" s="2">
        <v>234607</v>
      </c>
      <c r="C43" s="2" t="s">
        <v>119</v>
      </c>
      <c r="D43" s="2" t="s">
        <v>164</v>
      </c>
      <c r="E43" s="2">
        <v>117579</v>
      </c>
      <c r="F43" s="2" t="s">
        <v>165</v>
      </c>
      <c r="G43" s="2" t="s">
        <v>175</v>
      </c>
      <c r="H43" s="2">
        <v>127</v>
      </c>
    </row>
    <row r="44" spans="1:8" x14ac:dyDescent="0.25">
      <c r="A44" s="2" t="s">
        <v>163</v>
      </c>
      <c r="B44" s="2">
        <v>234608</v>
      </c>
      <c r="C44" s="2" t="s">
        <v>121</v>
      </c>
      <c r="D44" s="2" t="s">
        <v>164</v>
      </c>
      <c r="E44" s="2">
        <v>117591</v>
      </c>
      <c r="F44" s="2" t="s">
        <v>168</v>
      </c>
      <c r="G44" s="2" t="s">
        <v>175</v>
      </c>
      <c r="H44" s="2">
        <v>127</v>
      </c>
    </row>
    <row r="45" spans="1:8" x14ac:dyDescent="0.25">
      <c r="A45" s="2" t="s">
        <v>163</v>
      </c>
      <c r="B45" s="2">
        <v>234609</v>
      </c>
      <c r="C45" s="2" t="s">
        <v>123</v>
      </c>
      <c r="D45" s="2" t="s">
        <v>167</v>
      </c>
      <c r="E45" s="2">
        <v>117603</v>
      </c>
      <c r="F45" s="2" t="s">
        <v>165</v>
      </c>
      <c r="G45" s="2" t="s">
        <v>177</v>
      </c>
      <c r="H45" s="2">
        <v>76.2</v>
      </c>
    </row>
    <row r="46" spans="1:8" x14ac:dyDescent="0.25">
      <c r="A46" s="2" t="s">
        <v>169</v>
      </c>
      <c r="B46" s="2">
        <v>234610</v>
      </c>
      <c r="C46" s="2" t="s">
        <v>125</v>
      </c>
      <c r="D46" s="2" t="s">
        <v>167</v>
      </c>
      <c r="E46" s="2">
        <v>117615</v>
      </c>
      <c r="F46" s="2" t="s">
        <v>168</v>
      </c>
      <c r="G46" s="2" t="s">
        <v>182</v>
      </c>
      <c r="H46" s="2">
        <v>76.2</v>
      </c>
    </row>
    <row r="47" spans="1:8" x14ac:dyDescent="0.25">
      <c r="A47" s="2" t="s">
        <v>170</v>
      </c>
      <c r="B47" s="2">
        <v>234611</v>
      </c>
      <c r="C47" s="2" t="s">
        <v>127</v>
      </c>
      <c r="D47" s="2" t="s">
        <v>167</v>
      </c>
      <c r="E47" s="2">
        <v>117627</v>
      </c>
      <c r="F47" s="2" t="s">
        <v>168</v>
      </c>
      <c r="G47" s="2" t="s">
        <v>173</v>
      </c>
      <c r="H47" s="2">
        <v>76.2</v>
      </c>
    </row>
    <row r="48" spans="1:8" x14ac:dyDescent="0.25">
      <c r="A48" s="2" t="s">
        <v>172</v>
      </c>
      <c r="B48" s="2">
        <v>234612</v>
      </c>
      <c r="C48" s="2" t="s">
        <v>129</v>
      </c>
      <c r="D48" s="2" t="s">
        <v>167</v>
      </c>
      <c r="E48" s="2">
        <v>117639</v>
      </c>
      <c r="F48" s="2" t="s">
        <v>165</v>
      </c>
      <c r="G48" s="2" t="s">
        <v>175</v>
      </c>
      <c r="H48" s="2">
        <v>76.2</v>
      </c>
    </row>
    <row r="49" spans="1:8" x14ac:dyDescent="0.25">
      <c r="A49" s="2" t="s">
        <v>174</v>
      </c>
      <c r="B49" s="2">
        <v>234613</v>
      </c>
      <c r="C49" s="2" t="s">
        <v>131</v>
      </c>
      <c r="D49" s="2" t="s">
        <v>167</v>
      </c>
      <c r="E49" s="2">
        <v>117651</v>
      </c>
      <c r="F49" s="2" t="s">
        <v>168</v>
      </c>
      <c r="G49" s="2" t="s">
        <v>175</v>
      </c>
      <c r="H49" s="2">
        <v>76.2</v>
      </c>
    </row>
    <row r="50" spans="1:8" x14ac:dyDescent="0.25">
      <c r="A50" s="2" t="s">
        <v>163</v>
      </c>
      <c r="B50" s="2">
        <v>234614</v>
      </c>
      <c r="C50" s="2" t="s">
        <v>133</v>
      </c>
      <c r="D50" s="2" t="s">
        <v>167</v>
      </c>
      <c r="E50" s="2">
        <v>117663</v>
      </c>
      <c r="F50" s="2" t="s">
        <v>165</v>
      </c>
      <c r="G50" s="2" t="s">
        <v>175</v>
      </c>
      <c r="H50" s="2">
        <v>76.2</v>
      </c>
    </row>
    <row r="51" spans="1:8" x14ac:dyDescent="0.25">
      <c r="A51" s="2" t="s">
        <v>180</v>
      </c>
      <c r="B51" s="2">
        <v>234615</v>
      </c>
      <c r="C51" s="2" t="s">
        <v>135</v>
      </c>
      <c r="D51" s="2" t="s">
        <v>167</v>
      </c>
      <c r="E51" s="2">
        <v>117675</v>
      </c>
      <c r="F51" s="2" t="s">
        <v>168</v>
      </c>
      <c r="G51" s="2" t="s">
        <v>166</v>
      </c>
      <c r="H51" s="2">
        <v>76.2</v>
      </c>
    </row>
    <row r="52" spans="1:8" x14ac:dyDescent="0.25">
      <c r="A52" s="2" t="s">
        <v>180</v>
      </c>
      <c r="B52" s="2">
        <v>234616</v>
      </c>
      <c r="C52" s="2" t="s">
        <v>137</v>
      </c>
      <c r="D52" s="2" t="s">
        <v>167</v>
      </c>
      <c r="E52" s="2">
        <v>117687</v>
      </c>
      <c r="F52" s="2" t="s">
        <v>165</v>
      </c>
      <c r="G52" s="2" t="s">
        <v>181</v>
      </c>
      <c r="H52" s="2">
        <v>76.2</v>
      </c>
    </row>
    <row r="53" spans="1:8" x14ac:dyDescent="0.25">
      <c r="A53" s="2" t="s">
        <v>169</v>
      </c>
      <c r="B53" s="2">
        <v>234617</v>
      </c>
      <c r="C53" s="2" t="s">
        <v>139</v>
      </c>
      <c r="D53" s="2" t="s">
        <v>167</v>
      </c>
      <c r="E53" s="2">
        <v>117699</v>
      </c>
      <c r="F53" s="2" t="s">
        <v>168</v>
      </c>
      <c r="G53" s="2" t="s">
        <v>181</v>
      </c>
      <c r="H53" s="2">
        <v>76.2</v>
      </c>
    </row>
    <row r="54" spans="1:8" x14ac:dyDescent="0.25">
      <c r="A54" s="2" t="s">
        <v>170</v>
      </c>
      <c r="B54" s="2">
        <v>234618</v>
      </c>
      <c r="C54" s="2" t="s">
        <v>141</v>
      </c>
      <c r="D54" s="2" t="s">
        <v>167</v>
      </c>
      <c r="E54" s="2">
        <v>117711</v>
      </c>
      <c r="F54" s="2" t="s">
        <v>168</v>
      </c>
      <c r="G54" s="2" t="s">
        <v>173</v>
      </c>
      <c r="H54" s="2">
        <v>76.2</v>
      </c>
    </row>
    <row r="55" spans="1:8" x14ac:dyDescent="0.25">
      <c r="A55" s="2" t="s">
        <v>172</v>
      </c>
      <c r="B55" s="2">
        <v>234619</v>
      </c>
      <c r="C55" s="2" t="s">
        <v>143</v>
      </c>
      <c r="D55" s="2" t="s">
        <v>164</v>
      </c>
      <c r="E55" s="2">
        <v>117723</v>
      </c>
      <c r="F55" s="2" t="s">
        <v>165</v>
      </c>
      <c r="G55" s="2" t="s">
        <v>175</v>
      </c>
      <c r="H55" s="2">
        <v>127</v>
      </c>
    </row>
    <row r="56" spans="1:8" x14ac:dyDescent="0.25">
      <c r="A56" s="2" t="s">
        <v>174</v>
      </c>
      <c r="B56" s="2">
        <v>234620</v>
      </c>
      <c r="C56" s="2" t="s">
        <v>145</v>
      </c>
      <c r="D56" s="2" t="s">
        <v>164</v>
      </c>
      <c r="E56" s="2">
        <v>117735</v>
      </c>
      <c r="F56" s="2" t="s">
        <v>168</v>
      </c>
      <c r="G56" s="2" t="s">
        <v>175</v>
      </c>
      <c r="H56" s="2">
        <v>127</v>
      </c>
    </row>
    <row r="57" spans="1:8" x14ac:dyDescent="0.25">
      <c r="A57" s="2" t="s">
        <v>163</v>
      </c>
      <c r="B57" s="2">
        <v>234621</v>
      </c>
      <c r="C57" s="2" t="s">
        <v>147</v>
      </c>
      <c r="D57" s="2" t="s">
        <v>164</v>
      </c>
      <c r="E57" s="2">
        <v>117747</v>
      </c>
      <c r="F57" s="2" t="s">
        <v>165</v>
      </c>
      <c r="G57" s="2" t="s">
        <v>177</v>
      </c>
      <c r="H57" s="2">
        <v>127</v>
      </c>
    </row>
    <row r="58" spans="1:8" x14ac:dyDescent="0.25">
      <c r="A58" s="2" t="s">
        <v>163</v>
      </c>
      <c r="B58" s="2">
        <v>234622</v>
      </c>
      <c r="C58" s="2" t="s">
        <v>149</v>
      </c>
      <c r="D58" s="2" t="s">
        <v>167</v>
      </c>
      <c r="E58" s="2">
        <v>117759</v>
      </c>
      <c r="F58" s="2" t="s">
        <v>168</v>
      </c>
      <c r="G58" s="2" t="s">
        <v>176</v>
      </c>
      <c r="H58" s="2">
        <v>76.2</v>
      </c>
    </row>
    <row r="59" spans="1:8" x14ac:dyDescent="0.25">
      <c r="A59" s="2" t="s">
        <v>163</v>
      </c>
      <c r="B59" s="2">
        <v>234623</v>
      </c>
      <c r="C59" s="2" t="s">
        <v>151</v>
      </c>
      <c r="D59" s="2" t="s">
        <v>167</v>
      </c>
      <c r="E59" s="2">
        <v>117771</v>
      </c>
      <c r="F59" s="2" t="s">
        <v>165</v>
      </c>
      <c r="G59" s="2" t="s">
        <v>175</v>
      </c>
      <c r="H59" s="2">
        <v>76.2</v>
      </c>
    </row>
    <row r="60" spans="1:8" x14ac:dyDescent="0.25">
      <c r="A60" s="2" t="s">
        <v>169</v>
      </c>
      <c r="B60" s="2">
        <v>234624</v>
      </c>
      <c r="C60" s="2" t="s">
        <v>153</v>
      </c>
      <c r="D60" s="2" t="s">
        <v>167</v>
      </c>
      <c r="E60" s="2">
        <v>117783</v>
      </c>
      <c r="F60" s="2" t="s">
        <v>168</v>
      </c>
      <c r="G60" s="2" t="s">
        <v>173</v>
      </c>
      <c r="H60" s="2">
        <v>76.2</v>
      </c>
    </row>
    <row r="61" spans="1:8" x14ac:dyDescent="0.25">
      <c r="A61" s="2" t="s">
        <v>170</v>
      </c>
      <c r="B61" s="2">
        <v>234625</v>
      </c>
      <c r="C61" s="2" t="s">
        <v>155</v>
      </c>
      <c r="D61" s="2" t="s">
        <v>167</v>
      </c>
      <c r="E61" s="2">
        <v>117795</v>
      </c>
      <c r="F61" s="2" t="s">
        <v>165</v>
      </c>
      <c r="G61" s="2" t="s">
        <v>173</v>
      </c>
      <c r="H61" s="2">
        <v>76.2</v>
      </c>
    </row>
  </sheetData>
  <phoneticPr fontId="1" type="noConversion"/>
  <conditionalFormatting sqref="A1:B1">
    <cfRule type="duplicateValues" dxfId="4" priority="4"/>
  </conditionalFormatting>
  <dataValidations count="2">
    <dataValidation type="textLength" operator="lessThanOrEqual" showInputMessage="1" showErrorMessage="1" errorTitle="Длина превышена" error="Это значение должно иметь длину 20 или меньше символов." promptTitle="Текст (обязательные)" prompt="Максимальная длина: 20 символов." sqref="B2:B6" xr:uid="{3E302931-385E-4BE9-9C76-819BCD7D478C}">
      <formula1>20</formula1>
    </dataValidation>
    <dataValidation showInputMessage="1" showErrorMessage="1" error=" " promptTitle="Поиск (обязательные)" prompt="Эта запись Клиент должна уже существовать в Microsoft Dynamics 365 или в этом исходном файле." sqref="C2:C61" xr:uid="{4B21A2BC-544B-4189-BEB7-B9840AA77F66}"/>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��;VT=B>3V=>A040;VT=B>3V=>A040
</file>

<file path=customXml/item2.xml>��0=0; ?@>406C;VT=B@09A><5@ @0EC=:C V:_<VAOFL!53<5=B!C<0, T2@>0=0; ?@>406C;VT=B@09A><5@ @0EC=:C V:_<VAOFL!53<5=B!C<0, T2@>
</file>

<file path=customXml/item3.xml>��;VT=B>3V=!?8A>: ?>A04;VT=B>3V=!?8A>: ?>A04
</file>

<file path=customXml/item4.xml>��
</file>

<file path=customXml/item5.xml>��
</file>

<file path=customXml/item6.xml>��
</file>

<file path=customXml/item7.xml>��
</file>

<file path=customXml/item8.xml>��
</file>

<file path=customXml/item9.xml>��
</file>

<file path=customXml/item10.xml>��
</file>

<file path=customXml/item11.xml>��0=0; ?@>406C;VT=B@09A><5@ @0EC=:C V:_<VAOFL!53<5=B!C<0, T2@>;VT=B>3V=!?8A>: ?>A04;VT=B>3V=>A040
</file>

<file path=customXml/item12.xml>��
</file>

<file path=customXml/item13.xml>��;VT=B;VT=B;VT=B;VT=B>3V=!?8A>: ?>A04;VT=B;VT=B;VT=B;VT=B;VT=B;VT=B;VT=B;VT=B;VT=B;VT=B>3V=!?8A>: ?>A04;VT=B;VT=B;VT=B;VT=B;VT=B;VT=B!C<0, T2@>!C<0, T2@>!C<0, T2@>0=0; ?@>406C;VT=B@09A><5@ @0EC=:C V:_<VAOFL!53<5=B!C<0, T2@>!C<0, T2@>!C<0, T2@>!C<0, T2@>!C<0, T2@>!C<0, T2@>!C<0, T2@>!C<0, T2@>!C<0, T2@>!C<0, T2@>0=0; ?@>406C;VT=B@09A><5@ @0EC=:C V:_<VAOFL!53<5=B!C<0, T2@>!C<0, T2@>!C<0, T2@>!C<0, T2@>!C<0, T2@>!C<0, T2@>!C<0, T2@>>3V=>3V=>3V=;VT=B>3V=>A040>3V=>3V=>3V=>3V=>3V=>3V=>3V=>3V=>3V=;VT=B>3V=>A040>3V=>3V=>3V=>3V=>3V=>3V=;VT=B>3V=>A040>3V=>3V=0=0; ?@>406C;VT=B@09A><5@ @0EC=:C V:_<VAOFL!53<5=B!C<0, T2@>!C<0, T2@>!C<0, T2@>!C<0, T2@>!C<0, T2@>;VT=B>3V=!?8A>: ?>A04;VT=B;VT=B>3V=>3V=;VT=B>3V=>A040>3V=>3V=0=0; ?@>406C;VT=B@09A><5@ @0EC=:C V:_<VAOFL!53<5=B!C<0, T2@>!C<0, T2@>!C<0, T2@>!C<0, T2@>!C<0, T2@>;VT=B>3V=!?8A>: ?>A04;VT=B;VT=B>3V=>3V=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E5F7DAD-987C-4D68-BD58-1FB1655AD151}">
  <ds:schemaRefs/>
</ds:datastoreItem>
</file>

<file path=customXml/itemProps2.xml><?xml version="1.0" encoding="utf-8"?>
<ds:datastoreItem xmlns:ds="http://schemas.openxmlformats.org/officeDocument/2006/customXml" ds:itemID="{4D3B0DC8-A78C-4F02-9ABC-41ABD94FDA5F}">
  <ds:schemaRefs/>
</ds:datastoreItem>
</file>

<file path=customXml/itemProps3.xml><?xml version="1.0" encoding="utf-8"?>
<ds:datastoreItem xmlns:ds="http://schemas.openxmlformats.org/officeDocument/2006/customXml" ds:itemID="{3D2580DE-2603-4214-9DBA-AA2DD644D624}">
  <ds:schemaRefs/>
</ds:datastoreItem>
</file>

<file path=customXml/itemProps4.xml><?xml version="1.0" encoding="utf-8"?>
<ds:datastoreItem xmlns:ds="http://schemas.openxmlformats.org/officeDocument/2006/customXml" ds:itemID="{0745D728-F5FA-4669-92D2-1FF4EEF14334}">
  <ds:schemaRefs/>
</ds:datastoreItem>
</file>

<file path=customXml/itemProps5.xml><?xml version="1.0" encoding="utf-8"?>
<ds:datastoreItem xmlns:ds="http://schemas.openxmlformats.org/officeDocument/2006/customXml" ds:itemID="{CB01063C-17A5-4346-8BF7-B3A7393ADBFA}">
  <ds:schemaRefs/>
</ds:datastoreItem>
</file>

<file path=customXml/itemProps6.xml><?xml version="1.0" encoding="utf-8"?>
<ds:datastoreItem xmlns:ds="http://schemas.openxmlformats.org/officeDocument/2006/customXml" ds:itemID="{B92D0AE0-C226-436B-B752-9BC5F272A223}">
  <ds:schemaRefs/>
</ds:datastoreItem>
</file>

<file path=customXml/itemProps7.xml><?xml version="1.0" encoding="utf-8"?>
<ds:datastoreItem xmlns:ds="http://schemas.openxmlformats.org/officeDocument/2006/customXml" ds:itemID="{0F066EED-907C-47C4-93BC-A67AD51B68B8}">
  <ds:schemaRefs/>
</ds:datastoreItem>
</file>

<file path=customXml/itemProps8.xml><?xml version="1.0" encoding="utf-8"?>
<ds:datastoreItem xmlns:ds="http://schemas.openxmlformats.org/officeDocument/2006/customXml" ds:itemID="{7B1FDD48-4A48-4166-8115-65ED6238130F}">
  <ds:schemaRefs/>
</ds:datastoreItem>
</file>

<file path=customXml/itemProps9.xml><?xml version="1.0" encoding="utf-8"?>
<ds:datastoreItem xmlns:ds="http://schemas.openxmlformats.org/officeDocument/2006/customXml" ds:itemID="{417B371B-E67B-4177-BE9D-DDFC10EBDF79}">
  <ds:schemaRefs/>
</ds:datastoreItem>
</file>

<file path=customXml/itemProps10.xml><?xml version="1.0" encoding="utf-8"?>
<ds:datastoreItem xmlns:ds="http://schemas.openxmlformats.org/officeDocument/2006/customXml" ds:itemID="{7133C20F-C866-424B-83EF-108B8DDD4BDB}">
  <ds:schemaRefs/>
</ds:datastoreItem>
</file>

<file path=customXml/itemProps11.xml><?xml version="1.0" encoding="utf-8"?>
<ds:datastoreItem xmlns:ds="http://schemas.openxmlformats.org/officeDocument/2006/customXml" ds:itemID="{94846C51-ABD0-4D2B-8D8A-BD3E56C6CB92}">
  <ds:schemaRefs/>
</ds:datastoreItem>
</file>

<file path=customXml/itemProps12.xml><?xml version="1.0" encoding="utf-8"?>
<ds:datastoreItem xmlns:ds="http://schemas.openxmlformats.org/officeDocument/2006/customXml" ds:itemID="{388943CB-0DD5-46A9-988E-4FE2DDD89830}">
  <ds:schemaRefs/>
</ds:datastoreItem>
</file>

<file path=customXml/itemProps13.xml><?xml version="1.0" encoding="utf-8"?>
<ds:datastoreItem xmlns:ds="http://schemas.openxmlformats.org/officeDocument/2006/customXml" ds:itemID="{43DA934B-371A-4EFC-9927-047ACEA3808D}">
  <ds:schemaRefs/>
</ds:datastoreItem>
</file>

<file path=customXml/itemProps14.xml><?xml version="1.0" encoding="utf-8"?>
<ds:datastoreItem xmlns:ds="http://schemas.openxmlformats.org/officeDocument/2006/customXml" ds:itemID="{558DB93D-832D-47E4-8D4E-C9F992D5AA05}">
  <ds:schemaRefs>
    <ds:schemaRef ds:uri="http://schemas.microsoft.com/DataMashup"/>
  </ds:schemaRefs>
</ds:datastoreItem>
</file>

<file path=customXml/itemProps15.xml><?xml version="1.0" encoding="utf-8"?>
<ds:datastoreItem xmlns:ds="http://schemas.openxmlformats.org/officeDocument/2006/customXml" ds:itemID="{98CFEE23-3082-4CAD-9935-3F08D7FE495D}">
  <ds:schemaRefs/>
</ds:datastoreItem>
</file>

<file path=customXml/itemProps16.xml><?xml version="1.0" encoding="utf-8"?>
<ds:datastoreItem xmlns:ds="http://schemas.openxmlformats.org/officeDocument/2006/customXml" ds:itemID="{A6A3BF22-1888-4429-BA9A-7BB4011F4AE7}">
  <ds:schemaRefs/>
</ds:datastoreItem>
</file>

<file path=customXml/itemProps17.xml><?xml version="1.0" encoding="utf-8"?>
<ds:datastoreItem xmlns:ds="http://schemas.openxmlformats.org/officeDocument/2006/customXml" ds:itemID="{484FB7BB-C4F8-48A1-B73D-8BC7C644494E}">
  <ds:schemaRefs/>
</ds:datastoreItem>
</file>

<file path=customXml/itemProps18.xml><?xml version="1.0" encoding="utf-8"?>
<ds:datastoreItem xmlns:ds="http://schemas.openxmlformats.org/officeDocument/2006/customXml" ds:itemID="{D6AC825C-04F5-44D4-B628-5C710CAF53B8}">
  <ds:schemaRefs/>
</ds:datastoreItem>
</file>

<file path=customXml/itemProps19.xml><?xml version="1.0" encoding="utf-8"?>
<ds:datastoreItem xmlns:ds="http://schemas.openxmlformats.org/officeDocument/2006/customXml" ds:itemID="{83C2366F-7508-4B72-9C25-66D496760804}">
  <ds:schemaRefs/>
</ds:datastoreItem>
</file>

<file path=customXml/itemProps20.xml><?xml version="1.0" encoding="utf-8"?>
<ds:datastoreItem xmlns:ds="http://schemas.openxmlformats.org/officeDocument/2006/customXml" ds:itemID="{0F5B3E2C-8526-40F6-9220-CCC40BCBFFFB}">
  <ds:schemaRefs/>
</ds:datastoreItem>
</file>

<file path=customXml/itemProps21.xml><?xml version="1.0" encoding="utf-8"?>
<ds:datastoreItem xmlns:ds="http://schemas.openxmlformats.org/officeDocument/2006/customXml" ds:itemID="{80339939-C9D2-4AB0-B8FF-FE6CDD13A8A4}">
  <ds:schemaRefs/>
</ds:datastoreItem>
</file>

<file path=customXml/itemProps22.xml><?xml version="1.0" encoding="utf-8"?>
<ds:datastoreItem xmlns:ds="http://schemas.openxmlformats.org/officeDocument/2006/customXml" ds:itemID="{C85AD2E1-9486-487E-BF1E-545E1B542038}">
  <ds:schemaRefs/>
</ds:datastoreItem>
</file>

<file path=customXml/itemProps23.xml><?xml version="1.0" encoding="utf-8"?>
<ds:datastoreItem xmlns:ds="http://schemas.openxmlformats.org/officeDocument/2006/customXml" ds:itemID="{E651B781-75A8-443B-9267-2791C9F2F4C8}">
  <ds:schemaRefs/>
</ds:datastoreItem>
</file>

<file path=customXml/itemProps24.xml><?xml version="1.0" encoding="utf-8"?>
<ds:datastoreItem xmlns:ds="http://schemas.openxmlformats.org/officeDocument/2006/customXml" ds:itemID="{273E0226-9D59-42FC-BFF5-EF5476BB2C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Завдання</vt:lpstr>
      <vt:lpstr>Виконання</vt:lpstr>
      <vt:lpstr>Користувачі</vt:lpstr>
      <vt:lpstr>Рахунки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Карп'юк Роман</dc:creator>
  <cp:keywords/>
  <dc:description/>
  <cp:lastModifiedBy>Володимир Возняк</cp:lastModifiedBy>
  <cp:revision/>
  <dcterms:created xsi:type="dcterms:W3CDTF">2025-07-03T14:03:34Z</dcterms:created>
  <dcterms:modified xsi:type="dcterms:W3CDTF">2025-11-29T11:20:23Z</dcterms:modified>
  <cp:category/>
  <cp:contentStatus/>
</cp:coreProperties>
</file>