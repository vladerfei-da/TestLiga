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f4cfa2b00634c267/Рабочий стол/TestLiga/"/>
    </mc:Choice>
  </mc:AlternateContent>
  <xr:revisionPtr revIDLastSave="25" documentId="8_{66DA19AE-528A-4BE9-AE83-E462D7DE5214}" xr6:coauthVersionLast="47" xr6:coauthVersionMax="47" xr10:uidLastSave="{496628EE-AFA0-4AC8-A2DC-543922A900DE}"/>
  <bookViews>
    <workbookView xWindow="-120" yWindow="-120" windowWidth="38640" windowHeight="21120" activeTab="1" xr2:uid="{B4929CDC-8F83-4BFD-A975-69A0E87926DA}"/>
  </bookViews>
  <sheets>
    <sheet name="Завдання" sheetId="4" r:id="rId1"/>
    <sheet name="Виконаня" sheetId="6" r:id="rId2"/>
    <sheet name="Користувачі" sheetId="1" r:id="rId3"/>
    <sheet name="Рахунки" sheetId="2" r:id="rId4"/>
  </sheets>
  <definedNames>
    <definedName name="_xlnm._FilterDatabase" localSheetId="2" hidden="1">Користувачі!$A$1:$D$82</definedName>
    <definedName name="_xlnm._FilterDatabase" localSheetId="3" hidden="1">Рахунки!$A$1:$H$61</definedName>
    <definedName name="Slicer_Дата">#N/A</definedName>
    <definedName name="Slicer_Прайс">#N/A</definedName>
    <definedName name="Slicer_Прайс1">#N/A</definedName>
    <definedName name="Slicer_Рік_місяць">#N/A</definedName>
  </definedNames>
  <calcPr calcId="191028"/>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Рахунки_3e27b524-bdbd-4c40-858c-9d40014b79ab" name="Рахунки" connection="Query - Рахунки"/>
          <x15:modelTable id="Клієнти_7ff7ad25-9010-45a9-9d4c-c8cf1570a7ac" name="Клієнти" connection="Query - Клієнти"/>
          <x15:modelTable id="Посада_79698283-17bb-4c04-9850-ef04fd5ca02c" name="Посада" connection="Query - Посада"/>
        </x15:modelTables>
        <x15:modelRelationships>
          <x15:modelRelationship fromTable="Клієнти" fromColumn="ID" toTable="Рахунки" toColum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2"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38A984-ACCA-4923-865F-CC9F962973A6}" name="Query - Клієнти" description="Connection to the 'Клієнти' query in the workbook." type="100" refreshedVersion="8" minRefreshableVersion="5">
    <extLst>
      <ext xmlns:x15="http://schemas.microsoft.com/office/spreadsheetml/2010/11/main" uri="{DE250136-89BD-433C-8126-D09CA5730AF9}">
        <x15:connection id="0aa3fe45-c68c-46e4-8aa7-8bf91221da8f"/>
      </ext>
    </extLst>
  </connection>
  <connection id="2" xr16:uid="{EB77285E-59A5-42E1-B3A0-BB04FA3C2AB8}" name="Query - Посада" description="Connection to the 'Посада' query in the workbook." type="100" refreshedVersion="8" minRefreshableVersion="5">
    <extLst>
      <ext xmlns:x15="http://schemas.microsoft.com/office/spreadsheetml/2010/11/main" uri="{DE250136-89BD-433C-8126-D09CA5730AF9}">
        <x15:connection id="404d9e71-2aa8-483d-9713-7066a1420e33"/>
      </ext>
    </extLst>
  </connection>
  <connection id="3" xr16:uid="{EAE7B5F4-D4B0-45CA-B1F9-CA6836E95AA9}" name="Query - Рахунки" description="Connection to the 'Рахунки' query in the workbook." type="100" refreshedVersion="8" minRefreshableVersion="5">
    <extLst>
      <ext xmlns:x15="http://schemas.microsoft.com/office/spreadsheetml/2010/11/main" uri="{DE250136-89BD-433C-8126-D09CA5730AF9}">
        <x15:connection id="c02abbfe-176e-4be9-b066-a85bea3edc30"/>
      </ext>
    </extLst>
  </connection>
  <connection id="4" xr16:uid="{681BC5A1-CFA6-42DE-A986-0D7909151AD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<sst xmlns="http://schemas.openxmlformats.org/spreadsheetml/2006/main" count="738" uniqueCount="200">
  <si>
    <t>Тестове завдання</t>
  </si>
  <si>
    <t>Опис</t>
  </si>
  <si>
    <t>Побудова зведених таблиць на основі двох таблиць: Користувачі і Рахунки</t>
  </si>
  <si>
    <t>Таблиці</t>
  </si>
  <si>
    <t>1. Користувачі</t>
  </si>
  <si>
    <r>
      <rPr>
        <b/>
        <sz val="12"/>
        <color theme="1"/>
        <rFont val="Aptos Narrow"/>
        <family val="2"/>
        <scheme val="minor"/>
      </rPr>
      <t>Колонки</t>
    </r>
    <r>
      <rPr>
        <sz val="12"/>
        <color theme="1"/>
        <rFont val="Aptos Narrow"/>
        <family val="2"/>
        <scheme val="minor"/>
      </rPr>
      <t>: ID, Клієнт, Логін (ідентифікатор користувача), Посада</t>
    </r>
  </si>
  <si>
    <t>2. Рахунки</t>
  </si>
  <si>
    <r>
      <rPr>
        <b/>
        <sz val="12"/>
        <color theme="1"/>
        <rFont val="Aptos Narrow"/>
        <family val="2"/>
        <scheme val="minor"/>
      </rPr>
      <t>Колонки</t>
    </r>
    <r>
      <rPr>
        <sz val="12"/>
        <color theme="1"/>
        <rFont val="Aptos Narrow"/>
        <family val="2"/>
        <scheme val="minor"/>
      </rPr>
      <t>: Канал продажу, ID, Клієнт, Прайс, Номер рахунку, Рік_місяць, Сегмент, Сума, євро</t>
    </r>
  </si>
  <si>
    <t>Завдання</t>
  </si>
  <si>
    <t>Створити зведені таблиці (Pivot tables) з розрахунком загальної суми і середнього чека по користувачах і  клієнтах</t>
  </si>
  <si>
    <r>
      <t xml:space="preserve">1. Зведені таблиці по користувачах </t>
    </r>
    <r>
      <rPr>
        <sz val="12"/>
        <rFont val="Calibri"/>
        <family val="2"/>
        <charset val="204"/>
      </rPr>
      <t>(по каналах і сегментах окремо)</t>
    </r>
  </si>
  <si>
    <r>
      <rPr>
        <b/>
        <sz val="12"/>
        <color theme="1"/>
        <rFont val="Aptos Narrow"/>
        <family val="2"/>
        <scheme val="minor"/>
      </rPr>
      <t>Поля</t>
    </r>
    <r>
      <rPr>
        <sz val="12"/>
        <color theme="1"/>
        <rFont val="Aptos Narrow"/>
        <family val="2"/>
        <scheme val="minor"/>
      </rPr>
      <t xml:space="preserve">: Канал, Посада, К-ть користувачів, Сума, Ср. чек по користувачах
</t>
    </r>
    <r>
      <rPr>
        <b/>
        <sz val="12"/>
        <color theme="1"/>
        <rFont val="Aptos Narrow"/>
        <family val="2"/>
        <scheme val="minor"/>
      </rPr>
      <t>Фільтри (Зрізи)</t>
    </r>
    <r>
      <rPr>
        <sz val="12"/>
        <color theme="1"/>
        <rFont val="Aptos Narrow"/>
        <family val="2"/>
        <scheme val="minor"/>
      </rPr>
      <t>: Період (Рік_місяць), Прайс</t>
    </r>
  </si>
  <si>
    <r>
      <rPr>
        <b/>
        <sz val="12"/>
        <color theme="1"/>
        <rFont val="Aptos Narrow"/>
        <family val="2"/>
        <scheme val="minor"/>
      </rPr>
      <t>Поля</t>
    </r>
    <r>
      <rPr>
        <sz val="12"/>
        <color theme="1"/>
        <rFont val="Aptos Narrow"/>
        <family val="2"/>
        <scheme val="minor"/>
      </rPr>
      <t xml:space="preserve">: Сегмент, Посада, К-ть користувачів, Сума, Ср. чек по користувачах
</t>
    </r>
    <r>
      <rPr>
        <b/>
        <sz val="12"/>
        <color theme="1"/>
        <rFont val="Aptos Narrow"/>
        <family val="2"/>
        <scheme val="minor"/>
      </rPr>
      <t>Фільтри (Зрізи)</t>
    </r>
    <r>
      <rPr>
        <sz val="12"/>
        <color theme="1"/>
        <rFont val="Aptos Narrow"/>
        <family val="2"/>
        <scheme val="minor"/>
      </rPr>
      <t>: Період (Рік_місяць), Прайс</t>
    </r>
  </si>
  <si>
    <r>
      <t xml:space="preserve">2. Зведені таблиці по клієнтах </t>
    </r>
    <r>
      <rPr>
        <sz val="12"/>
        <rFont val="Calibri"/>
        <family val="2"/>
        <charset val="204"/>
      </rPr>
      <t>(по каналах і сегментах окремо)</t>
    </r>
  </si>
  <si>
    <r>
      <rPr>
        <b/>
        <sz val="12"/>
        <color rgb="FF000000"/>
        <rFont val="Aptos Narrow"/>
        <family val="2"/>
      </rPr>
      <t>Поля</t>
    </r>
    <r>
      <rPr>
        <sz val="12"/>
        <color rgb="FF000000"/>
        <rFont val="Aptos Narrow"/>
        <family val="2"/>
      </rPr>
      <t xml:space="preserve">: Канал, К-ть клієнтів, Сума, Ср. чек по клієнтах
</t>
    </r>
    <r>
      <rPr>
        <b/>
        <sz val="12"/>
        <color rgb="FF000000"/>
        <rFont val="Aptos Narrow"/>
        <family val="2"/>
      </rPr>
      <t>Фільтри (Зрізи)</t>
    </r>
    <r>
      <rPr>
        <sz val="12"/>
        <color rgb="FF000000"/>
        <rFont val="Aptos Narrow"/>
        <family val="2"/>
      </rPr>
      <t>: Період (Рік_місяць), Прайс</t>
    </r>
  </si>
  <si>
    <r>
      <rPr>
        <b/>
        <sz val="12"/>
        <color theme="1"/>
        <rFont val="Aptos Narrow"/>
        <family val="2"/>
        <scheme val="minor"/>
      </rPr>
      <t>Поля</t>
    </r>
    <r>
      <rPr>
        <sz val="12"/>
        <color theme="1"/>
        <rFont val="Aptos Narrow"/>
        <family val="2"/>
        <scheme val="minor"/>
      </rPr>
      <t xml:space="preserve">: Сегмент, К-ть клієнтів, Сума, Ср. чек по клієнтах
</t>
    </r>
    <r>
      <rPr>
        <b/>
        <sz val="12"/>
        <color theme="1"/>
        <rFont val="Aptos Narrow"/>
        <family val="2"/>
        <scheme val="minor"/>
      </rPr>
      <t>Фільтри (Зрізи)</t>
    </r>
    <r>
      <rPr>
        <sz val="12"/>
        <color theme="1"/>
        <rFont val="Aptos Narrow"/>
        <family val="2"/>
        <scheme val="minor"/>
      </rPr>
      <t>: Період (Рік_місяць), Прайс</t>
    </r>
  </si>
  <si>
    <t>Примітки:</t>
  </si>
  <si>
    <r>
      <rPr>
        <b/>
        <sz val="12"/>
        <color theme="1"/>
        <rFont val="Aptos Narrow"/>
        <family val="2"/>
        <scheme val="minor"/>
      </rPr>
      <t>Логін</t>
    </r>
    <r>
      <rPr>
        <sz val="12"/>
        <color theme="1"/>
        <rFont val="Aptos Narrow"/>
        <family val="2"/>
        <scheme val="minor"/>
      </rPr>
      <t xml:space="preserve"> - це унікальний ідентифікатор користувача
Ідентифікація Дня клієнта - по колонці </t>
    </r>
    <r>
      <rPr>
        <b/>
        <sz val="12"/>
        <color theme="1"/>
        <rFont val="Aptos Narrow"/>
        <family val="2"/>
        <scheme val="minor"/>
      </rPr>
      <t>Прайс</t>
    </r>
    <r>
      <rPr>
        <sz val="12"/>
        <color theme="1"/>
        <rFont val="Aptos Narrow"/>
        <family val="2"/>
        <scheme val="minor"/>
      </rPr>
      <t xml:space="preserve">
Ідентифікація періоду - по колонці </t>
    </r>
    <r>
      <rPr>
        <b/>
        <sz val="12"/>
        <color theme="1"/>
        <rFont val="Aptos Narrow"/>
        <family val="2"/>
        <scheme val="minor"/>
      </rPr>
      <t>Рік_місяць</t>
    </r>
  </si>
  <si>
    <t>ID</t>
  </si>
  <si>
    <t>Клієнт</t>
  </si>
  <si>
    <t>Логін</t>
  </si>
  <si>
    <t>Посада</t>
  </si>
  <si>
    <t>Клієнт 1</t>
  </si>
  <si>
    <t>111@mail.com</t>
  </si>
  <si>
    <t>HR (специалист)</t>
  </si>
  <si>
    <t>Юрист (юрисконсульт)</t>
  </si>
  <si>
    <t>Бухгалтер (специалист)</t>
  </si>
  <si>
    <t>Бухгалтер (главный бухгалтер)</t>
  </si>
  <si>
    <t>Юрист (партнер юр.компании)</t>
  </si>
  <si>
    <t>Клієнт 2</t>
  </si>
  <si>
    <t>112@mail.com</t>
  </si>
  <si>
    <t>Юрист (специалист юр.компании)</t>
  </si>
  <si>
    <t>Клієнт 3</t>
  </si>
  <si>
    <t>113@mail.com</t>
  </si>
  <si>
    <t>Судья</t>
  </si>
  <si>
    <t>CEO / Руководитель компании</t>
  </si>
  <si>
    <t>Клієнт 4</t>
  </si>
  <si>
    <t>114@mail.com</t>
  </si>
  <si>
    <t>Другое</t>
  </si>
  <si>
    <t>ИТ (специалист)</t>
  </si>
  <si>
    <t>Юрист (руководитель юр.департамента)</t>
  </si>
  <si>
    <t>Клієнт 5</t>
  </si>
  <si>
    <t>115@mail.com</t>
  </si>
  <si>
    <t>Аудитор</t>
  </si>
  <si>
    <t>Финансы (финансовый директор)</t>
  </si>
  <si>
    <t xml:space="preserve">Комплаенс специалист </t>
  </si>
  <si>
    <t>Клієнт 6</t>
  </si>
  <si>
    <t>116@mail.com</t>
  </si>
  <si>
    <t>Клієнт 7</t>
  </si>
  <si>
    <t>117@mail.com</t>
  </si>
  <si>
    <t>Клієнт 8</t>
  </si>
  <si>
    <t>118@mail.com</t>
  </si>
  <si>
    <t>Клієнт 9</t>
  </si>
  <si>
    <t>119@mail.com</t>
  </si>
  <si>
    <t>Клієнт 10</t>
  </si>
  <si>
    <t>120@mail.com</t>
  </si>
  <si>
    <t>Клієнт 11</t>
  </si>
  <si>
    <t>121@mail.com</t>
  </si>
  <si>
    <t>Клієнт 12</t>
  </si>
  <si>
    <t>122@mail.com</t>
  </si>
  <si>
    <t>Клієнт 13</t>
  </si>
  <si>
    <t>123@mail.com</t>
  </si>
  <si>
    <t>Клієнт 14</t>
  </si>
  <si>
    <t>124@mail.com</t>
  </si>
  <si>
    <t>Клієнт 15</t>
  </si>
  <si>
    <t>125@mail.com</t>
  </si>
  <si>
    <t>Клієнт 16</t>
  </si>
  <si>
    <t>126@mail.com</t>
  </si>
  <si>
    <t>Клієнт 17</t>
  </si>
  <si>
    <t>127@mail.com</t>
  </si>
  <si>
    <t>Клієнт 18</t>
  </si>
  <si>
    <t>128@mail.com</t>
  </si>
  <si>
    <t>Клієнт 19</t>
  </si>
  <si>
    <t>129@mail.com</t>
  </si>
  <si>
    <t>Клієнт 20</t>
  </si>
  <si>
    <t>130@mail.com</t>
  </si>
  <si>
    <t>Клієнт 21</t>
  </si>
  <si>
    <t>131@mail.com</t>
  </si>
  <si>
    <t>Клієнт 22</t>
  </si>
  <si>
    <t>132@mail.com</t>
  </si>
  <si>
    <t>Физическое лицо-предприниматель</t>
  </si>
  <si>
    <t>Клієнт 23</t>
  </si>
  <si>
    <t>133@mail.com</t>
  </si>
  <si>
    <t>Клієнт 24</t>
  </si>
  <si>
    <t>134@mail.com</t>
  </si>
  <si>
    <t>Клієнт 25</t>
  </si>
  <si>
    <t>135@mail.com</t>
  </si>
  <si>
    <t>Клієнт 26</t>
  </si>
  <si>
    <t>136@mail.com</t>
  </si>
  <si>
    <t>Клієнт 27</t>
  </si>
  <si>
    <t>137@mail.com</t>
  </si>
  <si>
    <t>Клієнт 28</t>
  </si>
  <si>
    <t>138@mail.com</t>
  </si>
  <si>
    <t>Клієнт 29</t>
  </si>
  <si>
    <t>139@mail.com</t>
  </si>
  <si>
    <t>Клієнт 30</t>
  </si>
  <si>
    <t>140@mail.com</t>
  </si>
  <si>
    <t>Клієнт 31</t>
  </si>
  <si>
    <t>141@mail.com</t>
  </si>
  <si>
    <t>Клієнт 32</t>
  </si>
  <si>
    <t>142@mail.com</t>
  </si>
  <si>
    <t>Клієнт 33</t>
  </si>
  <si>
    <t>143@mail.com</t>
  </si>
  <si>
    <t>Клієнт 34</t>
  </si>
  <si>
    <t>144@mail.com</t>
  </si>
  <si>
    <t>Клієнт 35</t>
  </si>
  <si>
    <t>145@mail.com</t>
  </si>
  <si>
    <t>Клієнт 36</t>
  </si>
  <si>
    <t>146@mail.com</t>
  </si>
  <si>
    <t>Клієнт 37</t>
  </si>
  <si>
    <t>147@mail.com</t>
  </si>
  <si>
    <t>Клієнт 38</t>
  </si>
  <si>
    <t>148@mail.com</t>
  </si>
  <si>
    <t>Клієнт 39</t>
  </si>
  <si>
    <t>149@mail.com</t>
  </si>
  <si>
    <t>Клієнт 40</t>
  </si>
  <si>
    <t>150@mail.com</t>
  </si>
  <si>
    <t>Клієнт 41</t>
  </si>
  <si>
    <t>151@mail.com</t>
  </si>
  <si>
    <t>Клієнт 42</t>
  </si>
  <si>
    <t>152@mail.com</t>
  </si>
  <si>
    <t>Клієнт 43</t>
  </si>
  <si>
    <t>153@mail.com</t>
  </si>
  <si>
    <t>Клієнт 44</t>
  </si>
  <si>
    <t>154@mail.com</t>
  </si>
  <si>
    <t>Клієнт 45</t>
  </si>
  <si>
    <t>155@mail.com</t>
  </si>
  <si>
    <t>Клієнт 46</t>
  </si>
  <si>
    <t>156@mail.com</t>
  </si>
  <si>
    <t>Клієнт 47</t>
  </si>
  <si>
    <t>157@mail.com</t>
  </si>
  <si>
    <t>Клієнт 48</t>
  </si>
  <si>
    <t>158@mail.com</t>
  </si>
  <si>
    <t>Клієнт 49</t>
  </si>
  <si>
    <t>159@mail.com</t>
  </si>
  <si>
    <t>Клієнт 50</t>
  </si>
  <si>
    <t>160@mail.com</t>
  </si>
  <si>
    <t>Клієнт 51</t>
  </si>
  <si>
    <t>161@mail.com</t>
  </si>
  <si>
    <t>Клієнт 52</t>
  </si>
  <si>
    <t>162@mail.com</t>
  </si>
  <si>
    <t>Клієнт 53</t>
  </si>
  <si>
    <t>163@mail.com</t>
  </si>
  <si>
    <t>Клієнт 54</t>
  </si>
  <si>
    <t>164@mail.com</t>
  </si>
  <si>
    <t>Клієнт 55</t>
  </si>
  <si>
    <t>165@mail.com</t>
  </si>
  <si>
    <t>Клієнт 56</t>
  </si>
  <si>
    <t>166@mail.com</t>
  </si>
  <si>
    <t>Клієнт 57</t>
  </si>
  <si>
    <t>167@mail.com</t>
  </si>
  <si>
    <t>Клієнт 58</t>
  </si>
  <si>
    <t>168@mail.com</t>
  </si>
  <si>
    <t>Клієнт 59</t>
  </si>
  <si>
    <t>169@mail.com</t>
  </si>
  <si>
    <t>Клієнт 60</t>
  </si>
  <si>
    <t>170@mail.com</t>
  </si>
  <si>
    <t>Канал продажу</t>
  </si>
  <si>
    <t>Прайс</t>
  </si>
  <si>
    <t>Номер рахунку</t>
  </si>
  <si>
    <t>Рік_місяць</t>
  </si>
  <si>
    <t>Сегмент</t>
  </si>
  <si>
    <t>Сума, євро</t>
  </si>
  <si>
    <t>Дилерська мережа</t>
  </si>
  <si>
    <t>LIGA360</t>
  </si>
  <si>
    <t>2025.05</t>
  </si>
  <si>
    <t>ГОС ВЛАСТЬ</t>
  </si>
  <si>
    <t>ClientDay</t>
  </si>
  <si>
    <t>2025.06</t>
  </si>
  <si>
    <t>Держ регіональні</t>
  </si>
  <si>
    <t>Корп клієнти</t>
  </si>
  <si>
    <t>КРУПНЫЙ БИЗНЕС</t>
  </si>
  <si>
    <t>Нові продажі</t>
  </si>
  <si>
    <t>СРЕДНИЙ БИЗНЕС</t>
  </si>
  <si>
    <t>ЮрАудит бізнес</t>
  </si>
  <si>
    <t>МАЛЫЙ БИЗНЕС</t>
  </si>
  <si>
    <t>МАЛЫЙ ЮР. БИЗНЕС</t>
  </si>
  <si>
    <t>МАЛЫЙ БУХ.-АУДИТ. БИЗНЕС</t>
  </si>
  <si>
    <t>СРЕДНИЙ ЮР. БИЗНЕС</t>
  </si>
  <si>
    <t>ФИЗ.ЛИЦО-ПРЕДПРИНИМАТЕЛЬ</t>
  </si>
  <si>
    <t>Держ центральні</t>
  </si>
  <si>
    <t>ГОСПРЕДПРИЯТИЕ</t>
  </si>
  <si>
    <t>ГОС БЮДЖЕТ</t>
  </si>
  <si>
    <t>Grand Total</t>
  </si>
  <si>
    <t>Канал продаж</t>
  </si>
  <si>
    <t>К-ть користувачів</t>
  </si>
  <si>
    <t>Сума</t>
  </si>
  <si>
    <t>Середній чек</t>
  </si>
  <si>
    <t>Дата</t>
  </si>
  <si>
    <t>Завдання 1.1</t>
  </si>
  <si>
    <t>Завдання 1.2</t>
  </si>
  <si>
    <t>К-ть клієнтів</t>
  </si>
  <si>
    <t xml:space="preserve"> Сума, євро</t>
  </si>
  <si>
    <t>Завдання 2.1</t>
  </si>
  <si>
    <t>Завдання 2.2</t>
  </si>
  <si>
    <t>Сегмент/Посада</t>
  </si>
  <si>
    <t>Канал</t>
  </si>
  <si>
    <t>Середній чек, євро</t>
  </si>
  <si>
    <t>Канал/Посада</t>
  </si>
  <si>
    <t>Примітивний варіант (XLOOKUP для зв'язку таблиць). Зведена з "Користувачі"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</si>
</sst>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Aptos Narrow"/>
      <family val="2"/>
      <charset val="204"/>
      <scheme val="minor"/>
    </font>
    <font>
      <sz val="8"/>
      <name val="Aptos Narrow"/>
      <family val="2"/>
      <charset val="204"/>
      <scheme val="minor"/>
    </font>
    <font>
      <sz val="11"/>
      <color theme="1"/>
      <name val="Aptos Narrow"/>
      <family val="2"/>
      <scheme val="minor"/>
    </font>
    <font>
      <b/>
      <sz val="12"/>
      <name val="Calibri"/>
      <family val="2"/>
      <charset val="204"/>
    </font>
    <font>
      <b/>
      <sz val="12"/>
      <color theme="0"/>
      <name val="Aptos Narrow"/>
      <family val="2"/>
    </font>
    <font>
      <sz val="12"/>
      <color theme="1"/>
      <name val="Aptos Narrow"/>
      <family val="2"/>
      <scheme val="minor"/>
    </font>
    <font>
      <b/>
      <sz val="12"/>
      <color theme="1"/>
      <name val="Aptos Narrow"/>
      <family val="2"/>
      <scheme val="minor"/>
    </font>
    <font>
      <b/>
      <sz val="16"/>
      <name val="Calibri"/>
      <family val="2"/>
      <charset val="204"/>
    </font>
    <font>
      <sz val="12"/>
      <name val="Calibri"/>
      <family val="2"/>
      <charset val="204"/>
    </font>
    <font>
      <b/>
      <sz val="12"/>
      <color rgb="FF000000"/>
      <name val="Aptos Narrow"/>
      <family val="2"/>
    </font>
    <font>
      <sz val="12"/>
      <color rgb="FF000000"/>
      <name val="Aptos Narrow"/>
      <family val="2"/>
    </font>
    <font>
      <b/>
      <sz val="14"/>
      <color theme="6"/>
      <name val="Aptos Narrow"/>
      <family val="2"/>
      <scheme val="minor"/>
    </font>
    <font>
      <b/>
      <sz val="14"/>
      <color theme="4"/>
      <name val="Aptos Narrow"/>
      <family val="2"/>
      <scheme val="minor"/>
    </font>
    <font>
      <b/>
      <sz val="12"/>
      <color theme="5"/>
      <name val="Aptos Narrow"/>
      <family val="2"/>
    </font>
  </fonts>
  <fills count="8">
    <fill>
      <patternFill patternType="none"/>
    </fill>
    <fill>
      <patternFill patternType="gray125"/>
    </fill>
    <fill>
      <patternFill patternType="solid">
        <fgColor theme="4"/>
        <bgColor theme="4"/>
      </patternFill>
    </fill>
    <fill>
      <patternFill patternType="solid">
        <fgColor theme="5" tint="-0.249977111117893"/>
        <bgColor theme="4"/>
      </patternFill>
    </fill>
    <fill>
      <patternFill patternType="solid">
        <fgColor theme="6" tint="0.59999389629810485"/>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FFF00"/>
        <bgColor indexed="64"/>
      </patternFill>
    </fill>
  </fills>
  <borders count="4">
    <border>
      <left/>
      <right/>
      <top/>
      <bottom/>
      <diagonal/>
    </border>
    <border>
      <left style="thin">
        <color theme="4" tint="0.39997558519241921"/>
      </left>
      <right/>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s>
  <cellStyleXfs count="2">
    <xf numFmtId="0" fontId="0" fillId="0" borderId="0"/>
    <xf numFmtId="0" fontId="2" fillId="0" borderId="0"/>
  </cellStyleXfs>
  <cellXfs count="28">
    <xf numFmtId="0" fontId="0" fillId="0" borderId="0" xfId="0"/>
    <xf numFmtId="0" fontId="2" fillId="0" borderId="0" xfId="1"/>
    <xf numFmtId="0" fontId="5" fillId="0" borderId="0" xfId="0" applyFont="1"/>
    <xf numFmtId="49" fontId="5" fillId="0" borderId="0" xfId="0" applyNumberFormat="1" applyFont="1"/>
    <xf numFmtId="1" fontId="5" fillId="0" borderId="0" xfId="0" applyNumberFormat="1" applyFont="1"/>
    <xf numFmtId="0" fontId="5" fillId="0" borderId="0" xfId="1" applyFont="1" applyAlignment="1">
      <alignment vertical="top" wrapText="1"/>
    </xf>
    <xf numFmtId="0" fontId="3" fillId="0" borderId="0" xfId="1" applyFont="1" applyAlignment="1">
      <alignment horizontal="left" vertical="center" wrapText="1"/>
    </xf>
    <xf numFmtId="0" fontId="5" fillId="0" borderId="0" xfId="1" applyFont="1"/>
    <xf numFmtId="0" fontId="5" fillId="0" borderId="0" xfId="1" applyFont="1" applyAlignment="1">
      <alignment horizontal="left" vertical="top" wrapText="1"/>
    </xf>
    <xf numFmtId="0" fontId="3" fillId="0" borderId="0" xfId="1" applyFont="1" applyAlignment="1">
      <alignment horizontal="left" vertical="top" wrapText="1"/>
    </xf>
    <xf numFmtId="0" fontId="3" fillId="5" borderId="0" xfId="1" applyFont="1" applyFill="1" applyAlignment="1">
      <alignment horizontal="left" vertical="center" wrapText="1"/>
    </xf>
    <xf numFmtId="0" fontId="3" fillId="6" borderId="0" xfId="1" applyFont="1" applyFill="1" applyAlignment="1">
      <alignment horizontal="left" vertical="center" wrapText="1"/>
    </xf>
    <xf numFmtId="0" fontId="10" fillId="0" borderId="0" xfId="1" applyFont="1" applyAlignment="1">
      <alignment vertical="top" wrapText="1"/>
    </xf>
    <xf numFmtId="0" fontId="4" fillId="3" borderId="1" xfId="0" applyFont="1" applyFill="1" applyBorder="1"/>
    <xf numFmtId="49" fontId="4" fillId="3" borderId="2" xfId="0" applyNumberFormat="1" applyFont="1" applyFill="1" applyBorder="1"/>
    <xf numFmtId="0" fontId="4" fillId="3" borderId="3" xfId="0" applyFont="1" applyFill="1" applyBorder="1"/>
    <xf numFmtId="1" fontId="4" fillId="2" borderId="2" xfId="0" applyNumberFormat="1" applyFont="1" applyFill="1" applyBorder="1" applyAlignment="1">
      <alignment horizontal="center" vertical="center"/>
    </xf>
    <xf numFmtId="0" fontId="4" fillId="2" borderId="3"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0" borderId="0" xfId="0" applyAlignment="1">
      <alignment horizontal="center"/>
    </xf>
    <xf numFmtId="0" fontId="13" fillId="2" borderId="3" xfId="0" applyFont="1" applyFill="1" applyBorder="1" applyAlignment="1">
      <alignment horizontal="center" vertical="center"/>
    </xf>
    <xf numFmtId="0" fontId="3" fillId="0" borderId="0" xfId="1" applyFont="1" applyAlignment="1">
      <alignment horizontal="left" vertical="center" wrapText="1"/>
    </xf>
    <xf numFmtId="0" fontId="7" fillId="4" borderId="0" xfId="1" applyFont="1" applyFill="1" applyAlignment="1">
      <alignment horizontal="center" vertical="top" wrapText="1"/>
    </xf>
    <xf numFmtId="0" fontId="12" fillId="7" borderId="0" xfId="0" applyFont="1" applyFill="1" applyAlignment="1">
      <alignment horizontal="center"/>
    </xf>
    <xf numFmtId="0" fontId="11" fillId="5" borderId="0" xfId="0" applyFont="1" applyFill="1" applyAlignment="1">
      <alignment horizontal="center"/>
    </xf>
  </cellXfs>
  <cellStyles count="2">
    <cellStyle name="Normal" xfId="0" builtinId="0"/>
    <cellStyle name="Обычный 2" xfId="1" xr:uid="{911E992E-25EE-4615-B0B6-31A753F1C59F}"/>
  </cellStyles>
  <dxfs count="45">
    <dxf>
      <numFmt numFmtId="164" formatCode="#,##0.0"/>
    </dxf>
    <dxf>
      <numFmt numFmtId="164" formatCode="#,##0.0"/>
    </dxf>
    <dxf>
      <alignment horizontal="center"/>
    </dxf>
    <dxf>
      <numFmt numFmtId="164" formatCode="#,##0.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border outline="0">
        <top style="thin">
          <color theme="4" tint="0.39997558519241921"/>
        </top>
      </border>
    </dxf>
    <dxf>
      <font>
        <b val="0"/>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0"/>
        <name val="Aptos Narrow"/>
        <family val="2"/>
        <scheme val="none"/>
      </font>
      <fill>
        <patternFill patternType="solid">
          <fgColor theme="4"/>
          <bgColor theme="5" tint="-0.249977111117893"/>
        </patternFill>
      </fill>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border outline="0">
        <top style="thin">
          <color theme="4" tint="0.39997558519241921"/>
        </top>
      </border>
    </dxf>
    <dxf>
      <font>
        <b val="0"/>
        <i val="0"/>
        <strike val="0"/>
        <condense val="0"/>
        <extend val="0"/>
        <outline val="0"/>
        <shadow val="0"/>
        <u val="none"/>
        <vertAlign val="baseline"/>
        <sz val="12"/>
        <color theme="1"/>
        <name val="Aptos Narrow"/>
        <family val="2"/>
        <scheme val="minor"/>
      </font>
    </dxf>
    <dxf>
      <border outline="0">
        <bottom style="thin">
          <color theme="4" tint="0.39997558519241921"/>
        </bottom>
      </border>
    </dxf>
    <dxf>
      <font>
        <b/>
        <i val="0"/>
        <strike val="0"/>
        <condense val="0"/>
        <extend val="0"/>
        <outline val="0"/>
        <shadow val="0"/>
        <u val="none"/>
        <vertAlign val="baseline"/>
        <sz val="12"/>
        <color theme="0"/>
        <name val="Aptos Narrow"/>
        <family val="2"/>
        <scheme val="none"/>
      </font>
      <fill>
        <patternFill patternType="solid">
          <fgColor theme="4"/>
          <bgColor theme="4"/>
        </patternFill>
      </fill>
      <alignment horizontal="center" vertical="center" textRotation="0" wrapText="0" indent="0" justifyLastLine="0" shrinkToFit="0" readingOrder="0"/>
    </dxf>
    <dxf>
      <numFmt numFmtId="164" formatCode="#,##0.0"/>
    </dxf>
    <dxf>
      <numFmt numFmtId="164" formatCode="#,##0.0"/>
    </dxf>
    <dxf>
      <alignment horizontal="center"/>
    </dxf>
    <dxf>
      <numFmt numFmtId="164" formatCode="#,##0.0"/>
    </dxf>
    <dxf>
      <numFmt numFmtId="164" formatCode="#,##0.0"/>
    </dxf>
    <dxf>
      <alignment horizontal="center"/>
    </dxf>
    <dxf>
      <numFmt numFmtId="164" formatCode="#,##0.0"/>
    </dxf>
    <dxf>
      <numFmt numFmtId="164" formatCode="#,##0.0"/>
    </dxf>
    <dxf>
      <numFmt numFmtId="164" formatCode="#,##0.0"/>
    </dxf>
    <dxf>
      <numFmt numFmtId="164" formatCode="#,##0.0"/>
    </dxf>
    <dxf>
      <numFmt numFmtId="164" formatCode="#,##0.0"/>
    </dxf>
    <dxf>
      <alignment horizontal="center"/>
    </dxf>
    <dxf>
      <numFmt numFmtId="164" formatCode="#,##0.0"/>
    </dxf>
    <dxf>
      <numFmt numFmtId="164" formatCode="#,##0.0"/>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xdr:col>
      <xdr:colOff>100012</xdr:colOff>
      <xdr:row>2</xdr:row>
      <xdr:rowOff>76200</xdr:rowOff>
    </xdr:from>
    <xdr:ext cx="2095500" cy="1152525"/>
    <mc:AlternateContent xmlns:mc="http://schemas.openxmlformats.org/markup-compatibility/2006" xmlns:a14="http://schemas.microsoft.com/office/drawing/2010/main">
      <mc:Choice Requires="a14">
        <xdr:graphicFrame macro="">
          <xdr:nvGraphicFramePr>
            <xdr:cNvPr id="2" name="Дата">
              <a:extLst>
                <a:ext uri="{FF2B5EF4-FFF2-40B4-BE49-F238E27FC236}">
                  <a16:creationId xmlns:a16="http://schemas.microsoft.com/office/drawing/2014/main" id="{516AE22A-B4B1-4057-AADC-D528AB3DAD9B}"/>
                </a:ext>
              </a:extLst>
            </xdr:cNvPr>
            <xdr:cNvGraphicFramePr/>
          </xdr:nvGraphicFramePr>
          <xdr:xfrm>
            <a:off x="0" y="0"/>
            <a:ext cx="0" cy="0"/>
          </xdr:xfrm>
          <a:graphic>
            <a:graphicData uri="http://schemas.microsoft.com/office/drawing/2010/slicer">
              <sle:slicer xmlns:sle="http://schemas.microsoft.com/office/drawing/2010/slicer" name="Дата"/>
            </a:graphicData>
          </a:graphic>
        </xdr:graphicFrame>
      </mc:Choice>
      <mc:Fallback xmlns="">
        <xdr:sp macro="" textlink="">
          <xdr:nvSpPr>
            <xdr:cNvPr id="0" name=""/>
            <xdr:cNvSpPr>
              <a:spLocks noTextEdit="1"/>
            </xdr:cNvSpPr>
          </xdr:nvSpPr>
          <xdr:spPr>
            <a:xfrm>
              <a:off x="5815012" y="504825"/>
              <a:ext cx="2095500" cy="1152525"/>
            </a:xfrm>
            <a:prstGeom prst="rect">
              <a:avLst/>
            </a:prstGeom>
            <a:solidFill>
              <a:prstClr val="white"/>
            </a:solidFill>
            <a:ln w="1">
              <a:solidFill>
                <a:prstClr val="green"/>
              </a:solidFill>
            </a:ln>
          </xdr:spPr>
          <xdr:txBody>
            <a:bodyPr vertOverflow="clip" horzOverflow="clip"/>
            <a:lstStyle/>
            <a:p>
              <a:r>
                <a:rPr lang="uk-U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4</xdr:col>
      <xdr:colOff>111918</xdr:colOff>
      <xdr:row>8</xdr:row>
      <xdr:rowOff>90488</xdr:rowOff>
    </xdr:from>
    <xdr:ext cx="2085975" cy="1085850"/>
    <mc:AlternateContent xmlns:mc="http://schemas.openxmlformats.org/markup-compatibility/2006" xmlns:a14="http://schemas.microsoft.com/office/drawing/2010/main">
      <mc:Choice Requires="a14">
        <xdr:graphicFrame macro="">
          <xdr:nvGraphicFramePr>
            <xdr:cNvPr id="3" name="Прайс">
              <a:extLst>
                <a:ext uri="{FF2B5EF4-FFF2-40B4-BE49-F238E27FC236}">
                  <a16:creationId xmlns:a16="http://schemas.microsoft.com/office/drawing/2014/main" id="{EF64F344-5CD3-48C9-88F0-9FD95CF94C63}"/>
                </a:ext>
              </a:extLst>
            </xdr:cNvPr>
            <xdr:cNvGraphicFramePr/>
          </xdr:nvGraphicFramePr>
          <xdr:xfrm>
            <a:off x="0" y="0"/>
            <a:ext cx="0" cy="0"/>
          </xdr:xfrm>
          <a:graphic>
            <a:graphicData uri="http://schemas.microsoft.com/office/drawing/2010/slicer">
              <sle:slicer xmlns:sle="http://schemas.microsoft.com/office/drawing/2010/slicer" name="Прайс"/>
            </a:graphicData>
          </a:graphic>
        </xdr:graphicFrame>
      </mc:Choice>
      <mc:Fallback xmlns="">
        <xdr:sp macro="" textlink="">
          <xdr:nvSpPr>
            <xdr:cNvPr id="0" name=""/>
            <xdr:cNvSpPr>
              <a:spLocks noTextEdit="1"/>
            </xdr:cNvSpPr>
          </xdr:nvSpPr>
          <xdr:spPr>
            <a:xfrm>
              <a:off x="5826918" y="1662113"/>
              <a:ext cx="2085975" cy="1085850"/>
            </a:xfrm>
            <a:prstGeom prst="rect">
              <a:avLst/>
            </a:prstGeom>
            <a:solidFill>
              <a:prstClr val="white"/>
            </a:solidFill>
            <a:ln w="1">
              <a:solidFill>
                <a:prstClr val="green"/>
              </a:solidFill>
            </a:ln>
          </xdr:spPr>
          <xdr:txBody>
            <a:bodyPr vertOverflow="clip" horzOverflow="clip"/>
            <a:lstStyle/>
            <a:p>
              <a:r>
                <a:rPr lang="uk-U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oneCell">
    <xdr:from>
      <xdr:col>13</xdr:col>
      <xdr:colOff>247650</xdr:colOff>
      <xdr:row>10</xdr:row>
      <xdr:rowOff>133350</xdr:rowOff>
    </xdr:from>
    <xdr:to>
      <xdr:col>13</xdr:col>
      <xdr:colOff>2076450</xdr:colOff>
      <xdr:row>15</xdr:row>
      <xdr:rowOff>142875</xdr:rowOff>
    </xdr:to>
    <mc:AlternateContent xmlns:mc="http://schemas.openxmlformats.org/markup-compatibility/2006" xmlns:a14="http://schemas.microsoft.com/office/drawing/2010/main">
      <mc:Choice Requires="a14">
        <xdr:graphicFrame macro="">
          <xdr:nvGraphicFramePr>
            <xdr:cNvPr id="4" name="Прайс 1">
              <a:extLst>
                <a:ext uri="{FF2B5EF4-FFF2-40B4-BE49-F238E27FC236}">
                  <a16:creationId xmlns:a16="http://schemas.microsoft.com/office/drawing/2014/main" id="{EAE87D68-9F92-79B0-2BA5-257574F18849}"/>
                </a:ext>
              </a:extLst>
            </xdr:cNvPr>
            <xdr:cNvGraphicFramePr/>
          </xdr:nvGraphicFramePr>
          <xdr:xfrm>
            <a:off x="0" y="0"/>
            <a:ext cx="0" cy="0"/>
          </xdr:xfrm>
          <a:graphic>
            <a:graphicData uri="http://schemas.microsoft.com/office/drawing/2010/slicer">
              <sle:slicer xmlns:sle="http://schemas.microsoft.com/office/drawing/2010/slicer" name="Прайс 1"/>
            </a:graphicData>
          </a:graphic>
        </xdr:graphicFrame>
      </mc:Choice>
      <mc:Fallback xmlns="">
        <xdr:sp macro="" textlink="">
          <xdr:nvSpPr>
            <xdr:cNvPr id="0" name=""/>
            <xdr:cNvSpPr>
              <a:spLocks noTextEdit="1"/>
            </xdr:cNvSpPr>
          </xdr:nvSpPr>
          <xdr:spPr>
            <a:xfrm>
              <a:off x="14285119" y="2085975"/>
              <a:ext cx="1828800" cy="962025"/>
            </a:xfrm>
            <a:prstGeom prst="rect">
              <a:avLst/>
            </a:prstGeom>
            <a:solidFill>
              <a:prstClr val="white"/>
            </a:solidFill>
            <a:ln w="1">
              <a:solidFill>
                <a:prstClr val="green"/>
              </a:solidFill>
            </a:ln>
          </xdr:spPr>
          <xdr:txBody>
            <a:bodyPr vertOverflow="clip" horzOverflow="clip"/>
            <a:lstStyle/>
            <a:p>
              <a:r>
                <a:rPr lang="uk-U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421482</xdr:colOff>
      <xdr:row>10</xdr:row>
      <xdr:rowOff>123825</xdr:rowOff>
    </xdr:from>
    <xdr:to>
      <xdr:col>16</xdr:col>
      <xdr:colOff>626270</xdr:colOff>
      <xdr:row>15</xdr:row>
      <xdr:rowOff>133350</xdr:rowOff>
    </xdr:to>
    <mc:AlternateContent xmlns:mc="http://schemas.openxmlformats.org/markup-compatibility/2006" xmlns:a14="http://schemas.microsoft.com/office/drawing/2010/main">
      <mc:Choice Requires="a14">
        <xdr:graphicFrame macro="">
          <xdr:nvGraphicFramePr>
            <xdr:cNvPr id="5" name="Рік_місяць">
              <a:extLst>
                <a:ext uri="{FF2B5EF4-FFF2-40B4-BE49-F238E27FC236}">
                  <a16:creationId xmlns:a16="http://schemas.microsoft.com/office/drawing/2014/main" id="{D37D6FC5-8393-FF39-CB9E-4ECE7BCF04EA}"/>
                </a:ext>
              </a:extLst>
            </xdr:cNvPr>
            <xdr:cNvGraphicFramePr/>
          </xdr:nvGraphicFramePr>
          <xdr:xfrm>
            <a:off x="0" y="0"/>
            <a:ext cx="0" cy="0"/>
          </xdr:xfrm>
          <a:graphic>
            <a:graphicData uri="http://schemas.microsoft.com/office/drawing/2010/slicer">
              <sle:slicer xmlns:sle="http://schemas.microsoft.com/office/drawing/2010/slicer" name="Рік_місяць"/>
            </a:graphicData>
          </a:graphic>
        </xdr:graphicFrame>
      </mc:Choice>
      <mc:Fallback xmlns="">
        <xdr:sp macro="" textlink="">
          <xdr:nvSpPr>
            <xdr:cNvPr id="0" name=""/>
            <xdr:cNvSpPr>
              <a:spLocks noTextEdit="1"/>
            </xdr:cNvSpPr>
          </xdr:nvSpPr>
          <xdr:spPr>
            <a:xfrm>
              <a:off x="16554451" y="2076450"/>
              <a:ext cx="1835944" cy="962025"/>
            </a:xfrm>
            <a:prstGeom prst="rect">
              <a:avLst/>
            </a:prstGeom>
            <a:solidFill>
              <a:prstClr val="white"/>
            </a:solidFill>
            <a:ln w="1">
              <a:solidFill>
                <a:prstClr val="green"/>
              </a:solidFill>
            </a:ln>
          </xdr:spPr>
          <xdr:txBody>
            <a:bodyPr vertOverflow="clip" horzOverflow="clip"/>
            <a:lstStyle/>
            <a:p>
              <a:r>
                <a:rPr lang="uk-U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Володимир Возняк" refreshedDate="45989.759595601849" createdVersion="8" refreshedVersion="8" minRefreshableVersion="3" recordCount="81" xr:uid="{AEDD27A1-E96A-474A-8FBB-3666978704CF}">
  <cacheSource type="worksheet">
    <worksheetSource name="Table2"/>
  </cacheSource>
  <cacheFields count="9">
    <cacheField name="ID" numFmtId="0">
      <sharedItems containsSemiMixedTypes="0" containsString="0" containsNumber="1" containsInteger="1" minValue="123123" maxValue="234625"/>
    </cacheField>
    <cacheField name="Клієнт" numFmtId="0">
      <sharedItems/>
    </cacheField>
    <cacheField name="Логін" numFmtId="0">
      <sharedItems/>
    </cacheField>
    <cacheField name="Посада" numFmtId="0">
      <sharedItems count="15">
        <s v="HR (специалист)"/>
        <s v="Юрист (юрисконсульт)"/>
        <s v="Бухгалтер (специалист)"/>
        <s v="Бухгалтер (главный бухгалтер)"/>
        <s v="Юрист (партнер юр.компании)"/>
        <s v="Юрист (специалист юр.компании)"/>
        <s v="Судья"/>
        <s v="CEO / Руководитель компании"/>
        <s v="Другое"/>
        <s v="ИТ (специалист)"/>
        <s v="Юрист (руководитель юр.департамента)"/>
        <s v="Аудитор"/>
        <s v="Финансы (финансовый директор)"/>
        <s v="Комплаенс специалист "/>
        <s v="Физическое лицо-предприниматель"/>
      </sharedItems>
    </cacheField>
    <cacheField name="Канал продаж" numFmtId="0">
      <sharedItems count="6">
        <s v="Дилерська мережа"/>
        <s v="Держ регіональні"/>
        <s v="Корп клієнти"/>
        <s v="Нові продажі"/>
        <s v="ЮрАудит бізнес"/>
        <s v="Держ центральні"/>
      </sharedItems>
    </cacheField>
    <cacheField name="Сума" numFmtId="0">
      <sharedItems containsSemiMixedTypes="0" containsString="0" containsNumber="1" minValue="76.2" maxValue="889"/>
    </cacheField>
    <cacheField name="Дата" numFmtId="0">
      <sharedItems count="2">
        <s v="2025.05"/>
        <s v="2025.06"/>
      </sharedItems>
    </cacheField>
    <cacheField name="Прайс" numFmtId="0">
      <sharedItems count="2">
        <s v="LIGA360"/>
        <s v="ClientDay"/>
      </sharedItems>
    </cacheField>
    <cacheField name="Сегмент" numFmtId="0">
      <sharedItems count="10">
        <s v="ГОС ВЛАСТЬ"/>
        <s v="КРУПНЫЙ БИЗНЕС"/>
        <s v="СРЕДНИЙ БИЗНЕС"/>
        <s v="МАЛЫЙ БИЗНЕС"/>
        <s v="МАЛЫЙ ЮР. БИЗНЕС"/>
        <s v="МАЛЫЙ БУХ.-АУДИТ. БИЗНЕС"/>
        <s v="СРЕДНИЙ ЮР. БИЗНЕС"/>
        <s v="ФИЗ.ЛИЦО-ПРЕДПРИНИМАТЕЛЬ"/>
        <s v="ГОСПРЕДПРИЯТИЕ"/>
        <s v="ГОС БЮДЖЕТ"/>
      </sharedItems>
    </cacheField>
  </cacheFields>
  <extLst>
    <ext xmlns:x14="http://schemas.microsoft.com/office/spreadsheetml/2009/9/main" uri="{725AE2AE-9491-48be-B2B4-4EB974FC3084}">
      <x14:pivotCacheDefinition pivotCacheId="9059164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Володимир Возняк" refreshedDate="45989.763519675929" createdVersion="8" refreshedVersion="8" minRefreshableVersion="3" recordCount="60" xr:uid="{87955A38-E377-484E-83A6-E81815267B4A}">
  <cacheSource type="worksheet">
    <worksheetSource name="Table1"/>
  </cacheSource>
  <cacheFields count="8">
    <cacheField name="Канал продажу" numFmtId="0">
      <sharedItems count="6">
        <s v="Дилерська мережа"/>
        <s v="Держ регіональні"/>
        <s v="Корп клієнти"/>
        <s v="Нові продажі"/>
        <s v="ЮрАудит бізнес"/>
        <s v="Держ центральні"/>
      </sharedItems>
    </cacheField>
    <cacheField name="ID" numFmtId="0">
      <sharedItems containsSemiMixedTypes="0" containsString="0" containsNumber="1" containsInteger="1" minValue="123123" maxValue="234625"/>
    </cacheField>
    <cacheField name="Клієнт" numFmtId="0">
      <sharedItems/>
    </cacheField>
    <cacheField name="Прайс" numFmtId="0">
      <sharedItems count="2">
        <s v="LIGA360"/>
        <s v="ClientDay"/>
      </sharedItems>
    </cacheField>
    <cacheField name="Номер рахунку" numFmtId="0">
      <sharedItems containsSemiMixedTypes="0" containsString="0" containsNumber="1" containsInteger="1" minValue="117087" maxValue="117795"/>
    </cacheField>
    <cacheField name="Рік_місяць" numFmtId="0">
      <sharedItems count="2">
        <s v="2025.05"/>
        <s v="2025.06"/>
      </sharedItems>
    </cacheField>
    <cacheField name="Сегмент" numFmtId="0">
      <sharedItems count="10">
        <s v="ГОС ВЛАСТЬ"/>
        <s v="КРУПНЫЙ БИЗНЕС"/>
        <s v="СРЕДНИЙ БИЗНЕС"/>
        <s v="МАЛЫЙ БИЗНЕС"/>
        <s v="МАЛЫЙ ЮР. БИЗНЕС"/>
        <s v="МАЛЫЙ БУХ.-АУДИТ. БИЗНЕС"/>
        <s v="СРЕДНИЙ ЮР. БИЗНЕС"/>
        <s v="ФИЗ.ЛИЦО-ПРЕДПРИНИМАТЕЛЬ"/>
        <s v="ГОСПРЕДПРИЯТИЕ"/>
        <s v="ГОС БЮДЖЕТ"/>
      </sharedItems>
    </cacheField>
    <cacheField name="Сума, євро" numFmtId="0">
      <sharedItems containsSemiMixedTypes="0" containsString="0" containsNumber="1" minValue="76.2" maxValue="889"/>
    </cacheField>
  </cacheFields>
  <extLst>
    <ext xmlns:x14="http://schemas.microsoft.com/office/spreadsheetml/2009/9/main" uri="{725AE2AE-9491-48be-B2B4-4EB974FC3084}">
      <x14:pivotCacheDefinition pivotCacheId="7478177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
  <r>
    <n v="123123"/>
    <s v="Клієнт 1"/>
    <s v="111@mail.com"/>
    <x v="0"/>
    <x v="0"/>
    <n v="635"/>
    <x v="0"/>
    <x v="0"/>
    <x v="0"/>
  </r>
  <r>
    <n v="123123"/>
    <s v="Клієнт 1"/>
    <s v="111@mail.com"/>
    <x v="1"/>
    <x v="0"/>
    <n v="635"/>
    <x v="0"/>
    <x v="0"/>
    <x v="0"/>
  </r>
  <r>
    <n v="123123"/>
    <s v="Клієнт 1"/>
    <s v="111@mail.com"/>
    <x v="2"/>
    <x v="0"/>
    <n v="635"/>
    <x v="0"/>
    <x v="0"/>
    <x v="0"/>
  </r>
  <r>
    <n v="123123"/>
    <s v="Клієнт 1"/>
    <s v="111@mail.com"/>
    <x v="3"/>
    <x v="0"/>
    <n v="635"/>
    <x v="0"/>
    <x v="0"/>
    <x v="0"/>
  </r>
  <r>
    <n v="123123"/>
    <s v="Клієнт 1"/>
    <s v="111@mail.com"/>
    <x v="4"/>
    <x v="0"/>
    <n v="635"/>
    <x v="0"/>
    <x v="0"/>
    <x v="0"/>
  </r>
  <r>
    <n v="234567"/>
    <s v="Клієнт 2"/>
    <s v="112@mail.com"/>
    <x v="5"/>
    <x v="0"/>
    <n v="76.2"/>
    <x v="1"/>
    <x v="1"/>
    <x v="0"/>
  </r>
  <r>
    <n v="234568"/>
    <s v="Клієнт 3"/>
    <s v="113@mail.com"/>
    <x v="6"/>
    <x v="1"/>
    <n v="254"/>
    <x v="0"/>
    <x v="0"/>
    <x v="0"/>
  </r>
  <r>
    <n v="234568"/>
    <s v="Клієнт 3"/>
    <s v="113@mail.com"/>
    <x v="7"/>
    <x v="1"/>
    <n v="254"/>
    <x v="0"/>
    <x v="0"/>
    <x v="0"/>
  </r>
  <r>
    <n v="234569"/>
    <s v="Клієнт 4"/>
    <s v="114@mail.com"/>
    <x v="8"/>
    <x v="2"/>
    <n v="381"/>
    <x v="1"/>
    <x v="1"/>
    <x v="1"/>
  </r>
  <r>
    <n v="234569"/>
    <s v="Клієнт 4"/>
    <s v="114@mail.com"/>
    <x v="9"/>
    <x v="2"/>
    <n v="381"/>
    <x v="1"/>
    <x v="1"/>
    <x v="1"/>
  </r>
  <r>
    <n v="234569"/>
    <s v="Клієнт 4"/>
    <s v="114@mail.com"/>
    <x v="10"/>
    <x v="2"/>
    <n v="381"/>
    <x v="1"/>
    <x v="1"/>
    <x v="1"/>
  </r>
  <r>
    <n v="234569"/>
    <s v="Клієнт 4"/>
    <s v="114@mail.com"/>
    <x v="3"/>
    <x v="2"/>
    <n v="381"/>
    <x v="1"/>
    <x v="1"/>
    <x v="1"/>
  </r>
  <r>
    <n v="234569"/>
    <s v="Клієнт 4"/>
    <s v="114@mail.com"/>
    <x v="0"/>
    <x v="2"/>
    <n v="381"/>
    <x v="1"/>
    <x v="1"/>
    <x v="1"/>
  </r>
  <r>
    <n v="234570"/>
    <s v="Клієнт 5"/>
    <s v="115@mail.com"/>
    <x v="7"/>
    <x v="3"/>
    <n v="889"/>
    <x v="0"/>
    <x v="0"/>
    <x v="2"/>
  </r>
  <r>
    <n v="234570"/>
    <s v="Клієнт 5"/>
    <s v="115@mail.com"/>
    <x v="3"/>
    <x v="3"/>
    <n v="889"/>
    <x v="0"/>
    <x v="0"/>
    <x v="2"/>
  </r>
  <r>
    <n v="234570"/>
    <s v="Клієнт 5"/>
    <s v="115@mail.com"/>
    <x v="0"/>
    <x v="3"/>
    <n v="889"/>
    <x v="0"/>
    <x v="0"/>
    <x v="2"/>
  </r>
  <r>
    <n v="234570"/>
    <s v="Клієнт 5"/>
    <s v="115@mail.com"/>
    <x v="11"/>
    <x v="3"/>
    <n v="889"/>
    <x v="0"/>
    <x v="0"/>
    <x v="2"/>
  </r>
  <r>
    <n v="234570"/>
    <s v="Клієнт 5"/>
    <s v="115@mail.com"/>
    <x v="9"/>
    <x v="3"/>
    <n v="889"/>
    <x v="0"/>
    <x v="0"/>
    <x v="2"/>
  </r>
  <r>
    <n v="234570"/>
    <s v="Клієнт 5"/>
    <s v="115@mail.com"/>
    <x v="12"/>
    <x v="3"/>
    <n v="889"/>
    <x v="0"/>
    <x v="0"/>
    <x v="2"/>
  </r>
  <r>
    <n v="234570"/>
    <s v="Клієнт 5"/>
    <s v="115@mail.com"/>
    <x v="13"/>
    <x v="3"/>
    <n v="889"/>
    <x v="0"/>
    <x v="0"/>
    <x v="2"/>
  </r>
  <r>
    <n v="234571"/>
    <s v="Клієнт 6"/>
    <s v="116@mail.com"/>
    <x v="13"/>
    <x v="4"/>
    <n v="76.2"/>
    <x v="1"/>
    <x v="1"/>
    <x v="3"/>
  </r>
  <r>
    <n v="234572"/>
    <s v="Клієнт 7"/>
    <s v="117@mail.com"/>
    <x v="0"/>
    <x v="0"/>
    <n v="127"/>
    <x v="0"/>
    <x v="0"/>
    <x v="3"/>
  </r>
  <r>
    <n v="234573"/>
    <s v="Клієнт 8"/>
    <s v="118@mail.com"/>
    <x v="0"/>
    <x v="0"/>
    <n v="76.2"/>
    <x v="1"/>
    <x v="1"/>
    <x v="3"/>
  </r>
  <r>
    <n v="234574"/>
    <s v="Клієнт 9"/>
    <s v="119@mail.com"/>
    <x v="1"/>
    <x v="0"/>
    <n v="76.2"/>
    <x v="0"/>
    <x v="1"/>
    <x v="4"/>
  </r>
  <r>
    <n v="234575"/>
    <s v="Клієнт 10"/>
    <s v="120@mail.com"/>
    <x v="2"/>
    <x v="0"/>
    <n v="76.2"/>
    <x v="1"/>
    <x v="1"/>
    <x v="3"/>
  </r>
  <r>
    <n v="234576"/>
    <s v="Клієнт 11"/>
    <s v="121@mail.com"/>
    <x v="3"/>
    <x v="0"/>
    <n v="76.2"/>
    <x v="0"/>
    <x v="1"/>
    <x v="2"/>
  </r>
  <r>
    <n v="234577"/>
    <s v="Клієнт 12"/>
    <s v="122@mail.com"/>
    <x v="4"/>
    <x v="3"/>
    <n v="76.2"/>
    <x v="1"/>
    <x v="1"/>
    <x v="4"/>
  </r>
  <r>
    <n v="234578"/>
    <s v="Клієнт 13"/>
    <s v="123@mail.com"/>
    <x v="5"/>
    <x v="4"/>
    <n v="76.2"/>
    <x v="0"/>
    <x v="1"/>
    <x v="5"/>
  </r>
  <r>
    <n v="234579"/>
    <s v="Клієнт 14"/>
    <s v="124@mail.com"/>
    <x v="6"/>
    <x v="0"/>
    <n v="127"/>
    <x v="1"/>
    <x v="0"/>
    <x v="0"/>
  </r>
  <r>
    <n v="234580"/>
    <s v="Клієнт 15"/>
    <s v="125@mail.com"/>
    <x v="7"/>
    <x v="0"/>
    <n v="127"/>
    <x v="0"/>
    <x v="0"/>
    <x v="3"/>
  </r>
  <r>
    <n v="234581"/>
    <s v="Клієнт 16"/>
    <s v="126@mail.com"/>
    <x v="8"/>
    <x v="4"/>
    <n v="254"/>
    <x v="1"/>
    <x v="0"/>
    <x v="5"/>
  </r>
  <r>
    <n v="234581"/>
    <s v="Клієнт 16"/>
    <s v="126@mail.com"/>
    <x v="7"/>
    <x v="4"/>
    <n v="254"/>
    <x v="1"/>
    <x v="0"/>
    <x v="5"/>
  </r>
  <r>
    <n v="234582"/>
    <s v="Клієнт 17"/>
    <s v="127@mail.com"/>
    <x v="10"/>
    <x v="1"/>
    <n v="254"/>
    <x v="0"/>
    <x v="0"/>
    <x v="1"/>
  </r>
  <r>
    <n v="234582"/>
    <s v="Клієнт 17"/>
    <s v="127@mail.com"/>
    <x v="0"/>
    <x v="1"/>
    <n v="254"/>
    <x v="0"/>
    <x v="0"/>
    <x v="1"/>
  </r>
  <r>
    <n v="234583"/>
    <s v="Клієнт 18"/>
    <s v="128@mail.com"/>
    <x v="12"/>
    <x v="0"/>
    <n v="381"/>
    <x v="1"/>
    <x v="0"/>
    <x v="3"/>
  </r>
  <r>
    <n v="234583"/>
    <s v="Клієнт 18"/>
    <s v="128@mail.com"/>
    <x v="0"/>
    <x v="0"/>
    <n v="381"/>
    <x v="1"/>
    <x v="0"/>
    <x v="3"/>
  </r>
  <r>
    <n v="234583"/>
    <s v="Клієнт 18"/>
    <s v="128@mail.com"/>
    <x v="2"/>
    <x v="0"/>
    <n v="381"/>
    <x v="1"/>
    <x v="0"/>
    <x v="3"/>
  </r>
  <r>
    <n v="234584"/>
    <s v="Клієнт 19"/>
    <s v="129@mail.com"/>
    <x v="0"/>
    <x v="3"/>
    <n v="254"/>
    <x v="0"/>
    <x v="0"/>
    <x v="3"/>
  </r>
  <r>
    <n v="234584"/>
    <s v="Клієнт 19"/>
    <s v="129@mail.com"/>
    <x v="1"/>
    <x v="3"/>
    <n v="254"/>
    <x v="0"/>
    <x v="0"/>
    <x v="3"/>
  </r>
  <r>
    <n v="234585"/>
    <s v="Клієнт 20"/>
    <s v="130@mail.com"/>
    <x v="9"/>
    <x v="4"/>
    <n v="254"/>
    <x v="1"/>
    <x v="0"/>
    <x v="6"/>
  </r>
  <r>
    <n v="234585"/>
    <s v="Клієнт 20"/>
    <s v="130@mail.com"/>
    <x v="12"/>
    <x v="4"/>
    <n v="254"/>
    <x v="1"/>
    <x v="0"/>
    <x v="6"/>
  </r>
  <r>
    <n v="234586"/>
    <s v="Клієнт 21"/>
    <s v="131@mail.com"/>
    <x v="2"/>
    <x v="0"/>
    <n v="76.2"/>
    <x v="0"/>
    <x v="1"/>
    <x v="4"/>
  </r>
  <r>
    <n v="234587"/>
    <s v="Клієнт 22"/>
    <s v="132@mail.com"/>
    <x v="14"/>
    <x v="0"/>
    <n v="76.2"/>
    <x v="1"/>
    <x v="1"/>
    <x v="7"/>
  </r>
  <r>
    <n v="234588"/>
    <s v="Клієнт 23"/>
    <s v="133@mail.com"/>
    <x v="2"/>
    <x v="5"/>
    <n v="76.2"/>
    <x v="0"/>
    <x v="1"/>
    <x v="0"/>
  </r>
  <r>
    <n v="234589"/>
    <s v="Клієнт 24"/>
    <s v="134@mail.com"/>
    <x v="1"/>
    <x v="1"/>
    <n v="76.2"/>
    <x v="1"/>
    <x v="1"/>
    <x v="8"/>
  </r>
  <r>
    <n v="234590"/>
    <s v="Клієнт 25"/>
    <s v="135@mail.com"/>
    <x v="2"/>
    <x v="0"/>
    <n v="127"/>
    <x v="1"/>
    <x v="0"/>
    <x v="3"/>
  </r>
  <r>
    <n v="234591"/>
    <s v="Клієнт 26"/>
    <s v="136@mail.com"/>
    <x v="3"/>
    <x v="3"/>
    <n v="127"/>
    <x v="0"/>
    <x v="0"/>
    <x v="2"/>
  </r>
  <r>
    <n v="234592"/>
    <s v="Клієнт 27"/>
    <s v="137@mail.com"/>
    <x v="4"/>
    <x v="4"/>
    <n v="76.2"/>
    <x v="1"/>
    <x v="1"/>
    <x v="5"/>
  </r>
  <r>
    <n v="234593"/>
    <s v="Клієнт 28"/>
    <s v="138@mail.com"/>
    <x v="5"/>
    <x v="0"/>
    <n v="127"/>
    <x v="0"/>
    <x v="0"/>
    <x v="3"/>
  </r>
  <r>
    <n v="234594"/>
    <s v="Клієнт 29"/>
    <s v="139@mail.com"/>
    <x v="6"/>
    <x v="5"/>
    <n v="76.2"/>
    <x v="1"/>
    <x v="1"/>
    <x v="0"/>
  </r>
  <r>
    <n v="234595"/>
    <s v="Клієнт 30"/>
    <s v="140@mail.com"/>
    <x v="10"/>
    <x v="0"/>
    <n v="127"/>
    <x v="0"/>
    <x v="0"/>
    <x v="8"/>
  </r>
  <r>
    <n v="234596"/>
    <s v="Клієнт 31"/>
    <s v="141@mail.com"/>
    <x v="8"/>
    <x v="1"/>
    <n v="76.2"/>
    <x v="1"/>
    <x v="1"/>
    <x v="9"/>
  </r>
  <r>
    <n v="234597"/>
    <s v="Клієнт 32"/>
    <s v="142@mail.com"/>
    <x v="8"/>
    <x v="2"/>
    <n v="127"/>
    <x v="1"/>
    <x v="0"/>
    <x v="1"/>
  </r>
  <r>
    <n v="234598"/>
    <s v="Клієнт 33"/>
    <s v="143@mail.com"/>
    <x v="10"/>
    <x v="3"/>
    <n v="76.2"/>
    <x v="0"/>
    <x v="1"/>
    <x v="4"/>
  </r>
  <r>
    <n v="234599"/>
    <s v="Клієнт 34"/>
    <s v="144@mail.com"/>
    <x v="8"/>
    <x v="4"/>
    <n v="76.2"/>
    <x v="1"/>
    <x v="1"/>
    <x v="7"/>
  </r>
  <r>
    <n v="234600"/>
    <s v="Клієнт 35"/>
    <s v="145@mail.com"/>
    <x v="2"/>
    <x v="0"/>
    <n v="76.2"/>
    <x v="0"/>
    <x v="1"/>
    <x v="3"/>
  </r>
  <r>
    <n v="234601"/>
    <s v="Клієнт 36"/>
    <s v="146@mail.com"/>
    <x v="1"/>
    <x v="5"/>
    <n v="76.2"/>
    <x v="1"/>
    <x v="1"/>
    <x v="8"/>
  </r>
  <r>
    <n v="234602"/>
    <s v="Клієнт 37"/>
    <s v="147@mail.com"/>
    <x v="2"/>
    <x v="5"/>
    <n v="76.2"/>
    <x v="0"/>
    <x v="1"/>
    <x v="8"/>
  </r>
  <r>
    <n v="234603"/>
    <s v="Клієнт 38"/>
    <s v="148@mail.com"/>
    <x v="3"/>
    <x v="1"/>
    <n v="127"/>
    <x v="1"/>
    <x v="0"/>
    <x v="8"/>
  </r>
  <r>
    <n v="234604"/>
    <s v="Клієнт 39"/>
    <s v="149@mail.com"/>
    <x v="4"/>
    <x v="0"/>
    <n v="127"/>
    <x v="1"/>
    <x v="0"/>
    <x v="3"/>
  </r>
  <r>
    <n v="234605"/>
    <s v="Клієнт 40"/>
    <s v="150@mail.com"/>
    <x v="5"/>
    <x v="3"/>
    <n v="127"/>
    <x v="0"/>
    <x v="0"/>
    <x v="2"/>
  </r>
  <r>
    <n v="234606"/>
    <s v="Клієнт 41"/>
    <s v="151@mail.com"/>
    <x v="1"/>
    <x v="0"/>
    <n v="127"/>
    <x v="1"/>
    <x v="0"/>
    <x v="3"/>
  </r>
  <r>
    <n v="234607"/>
    <s v="Клієнт 42"/>
    <s v="152@mail.com"/>
    <x v="2"/>
    <x v="0"/>
    <n v="127"/>
    <x v="0"/>
    <x v="0"/>
    <x v="3"/>
  </r>
  <r>
    <n v="234608"/>
    <s v="Клієнт 43"/>
    <s v="153@mail.com"/>
    <x v="3"/>
    <x v="0"/>
    <n v="127"/>
    <x v="1"/>
    <x v="0"/>
    <x v="3"/>
  </r>
  <r>
    <n v="234609"/>
    <s v="Клієнт 44"/>
    <s v="154@mail.com"/>
    <x v="4"/>
    <x v="0"/>
    <n v="76.2"/>
    <x v="0"/>
    <x v="1"/>
    <x v="5"/>
  </r>
  <r>
    <n v="234610"/>
    <s v="Клієнт 45"/>
    <s v="155@mail.com"/>
    <x v="5"/>
    <x v="1"/>
    <n v="76.2"/>
    <x v="1"/>
    <x v="1"/>
    <x v="9"/>
  </r>
  <r>
    <n v="234611"/>
    <s v="Клієнт 46"/>
    <s v="156@mail.com"/>
    <x v="1"/>
    <x v="2"/>
    <n v="76.2"/>
    <x v="1"/>
    <x v="1"/>
    <x v="2"/>
  </r>
  <r>
    <n v="234612"/>
    <s v="Клієнт 47"/>
    <s v="157@mail.com"/>
    <x v="2"/>
    <x v="3"/>
    <n v="76.2"/>
    <x v="0"/>
    <x v="1"/>
    <x v="3"/>
  </r>
  <r>
    <n v="234613"/>
    <s v="Клієнт 48"/>
    <s v="158@mail.com"/>
    <x v="3"/>
    <x v="4"/>
    <n v="76.2"/>
    <x v="1"/>
    <x v="1"/>
    <x v="3"/>
  </r>
  <r>
    <n v="234614"/>
    <s v="Клієнт 49"/>
    <s v="159@mail.com"/>
    <x v="4"/>
    <x v="0"/>
    <n v="76.2"/>
    <x v="0"/>
    <x v="1"/>
    <x v="3"/>
  </r>
  <r>
    <n v="234615"/>
    <s v="Клієнт 50"/>
    <s v="160@mail.com"/>
    <x v="5"/>
    <x v="5"/>
    <n v="76.2"/>
    <x v="1"/>
    <x v="1"/>
    <x v="0"/>
  </r>
  <r>
    <n v="234616"/>
    <s v="Клієнт 51"/>
    <s v="161@mail.com"/>
    <x v="1"/>
    <x v="5"/>
    <n v="76.2"/>
    <x v="0"/>
    <x v="1"/>
    <x v="8"/>
  </r>
  <r>
    <n v="234617"/>
    <s v="Клієнт 52"/>
    <s v="162@mail.com"/>
    <x v="2"/>
    <x v="1"/>
    <n v="76.2"/>
    <x v="1"/>
    <x v="1"/>
    <x v="8"/>
  </r>
  <r>
    <n v="234618"/>
    <s v="Клієнт 53"/>
    <s v="163@mail.com"/>
    <x v="3"/>
    <x v="2"/>
    <n v="76.2"/>
    <x v="1"/>
    <x v="1"/>
    <x v="2"/>
  </r>
  <r>
    <n v="234619"/>
    <s v="Клієнт 54"/>
    <s v="164@mail.com"/>
    <x v="4"/>
    <x v="3"/>
    <n v="127"/>
    <x v="0"/>
    <x v="0"/>
    <x v="3"/>
  </r>
  <r>
    <n v="234620"/>
    <s v="Клієнт 55"/>
    <s v="165@mail.com"/>
    <x v="5"/>
    <x v="4"/>
    <n v="127"/>
    <x v="1"/>
    <x v="0"/>
    <x v="3"/>
  </r>
  <r>
    <n v="234621"/>
    <s v="Клієнт 56"/>
    <s v="166@mail.com"/>
    <x v="1"/>
    <x v="0"/>
    <n v="127"/>
    <x v="0"/>
    <x v="0"/>
    <x v="5"/>
  </r>
  <r>
    <n v="234622"/>
    <s v="Клієнт 57"/>
    <s v="167@mail.com"/>
    <x v="2"/>
    <x v="0"/>
    <n v="76.2"/>
    <x v="1"/>
    <x v="1"/>
    <x v="4"/>
  </r>
  <r>
    <n v="234623"/>
    <s v="Клієнт 58"/>
    <s v="168@mail.com"/>
    <x v="3"/>
    <x v="0"/>
    <n v="76.2"/>
    <x v="0"/>
    <x v="1"/>
    <x v="3"/>
  </r>
  <r>
    <n v="234624"/>
    <s v="Клієнт 59"/>
    <s v="169@mail.com"/>
    <x v="4"/>
    <x v="1"/>
    <n v="76.2"/>
    <x v="1"/>
    <x v="1"/>
    <x v="2"/>
  </r>
  <r>
    <n v="234625"/>
    <s v="Клієнт 60"/>
    <s v="170@mail.com"/>
    <x v="5"/>
    <x v="2"/>
    <n v="76.2"/>
    <x v="0"/>
    <x v="1"/>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n v="123123"/>
    <s v="Клієнт 1"/>
    <x v="0"/>
    <n v="117087"/>
    <x v="0"/>
    <x v="0"/>
    <n v="635"/>
  </r>
  <r>
    <x v="0"/>
    <n v="234567"/>
    <s v="Клієнт 2"/>
    <x v="1"/>
    <n v="117099"/>
    <x v="1"/>
    <x v="0"/>
    <n v="76.2"/>
  </r>
  <r>
    <x v="1"/>
    <n v="234568"/>
    <s v="Клієнт 3"/>
    <x v="0"/>
    <n v="117111"/>
    <x v="0"/>
    <x v="0"/>
    <n v="254"/>
  </r>
  <r>
    <x v="2"/>
    <n v="234569"/>
    <s v="Клієнт 4"/>
    <x v="1"/>
    <n v="117123"/>
    <x v="1"/>
    <x v="1"/>
    <n v="381"/>
  </r>
  <r>
    <x v="3"/>
    <n v="234570"/>
    <s v="Клієнт 5"/>
    <x v="0"/>
    <n v="117135"/>
    <x v="0"/>
    <x v="2"/>
    <n v="889"/>
  </r>
  <r>
    <x v="4"/>
    <n v="234571"/>
    <s v="Клієнт 6"/>
    <x v="1"/>
    <n v="117147"/>
    <x v="1"/>
    <x v="3"/>
    <n v="76.2"/>
  </r>
  <r>
    <x v="0"/>
    <n v="234572"/>
    <s v="Клієнт 7"/>
    <x v="0"/>
    <n v="117159"/>
    <x v="0"/>
    <x v="3"/>
    <n v="127"/>
  </r>
  <r>
    <x v="0"/>
    <n v="234573"/>
    <s v="Клієнт 8"/>
    <x v="1"/>
    <n v="117171"/>
    <x v="1"/>
    <x v="3"/>
    <n v="76.2"/>
  </r>
  <r>
    <x v="0"/>
    <n v="234574"/>
    <s v="Клієнт 9"/>
    <x v="1"/>
    <n v="117183"/>
    <x v="0"/>
    <x v="4"/>
    <n v="76.2"/>
  </r>
  <r>
    <x v="0"/>
    <n v="234575"/>
    <s v="Клієнт 10"/>
    <x v="1"/>
    <n v="117195"/>
    <x v="1"/>
    <x v="3"/>
    <n v="76.2"/>
  </r>
  <r>
    <x v="0"/>
    <n v="234576"/>
    <s v="Клієнт 11"/>
    <x v="1"/>
    <n v="117207"/>
    <x v="0"/>
    <x v="2"/>
    <n v="76.2"/>
  </r>
  <r>
    <x v="3"/>
    <n v="234577"/>
    <s v="Клієнт 12"/>
    <x v="1"/>
    <n v="117219"/>
    <x v="1"/>
    <x v="4"/>
    <n v="76.2"/>
  </r>
  <r>
    <x v="4"/>
    <n v="234578"/>
    <s v="Клієнт 13"/>
    <x v="1"/>
    <n v="117231"/>
    <x v="0"/>
    <x v="5"/>
    <n v="76.2"/>
  </r>
  <r>
    <x v="0"/>
    <n v="234579"/>
    <s v="Клієнт 14"/>
    <x v="0"/>
    <n v="117243"/>
    <x v="1"/>
    <x v="0"/>
    <n v="127"/>
  </r>
  <r>
    <x v="0"/>
    <n v="234580"/>
    <s v="Клієнт 15"/>
    <x v="0"/>
    <n v="117255"/>
    <x v="0"/>
    <x v="3"/>
    <n v="127"/>
  </r>
  <r>
    <x v="4"/>
    <n v="234581"/>
    <s v="Клієнт 16"/>
    <x v="0"/>
    <n v="117267"/>
    <x v="1"/>
    <x v="5"/>
    <n v="254"/>
  </r>
  <r>
    <x v="1"/>
    <n v="234582"/>
    <s v="Клієнт 17"/>
    <x v="0"/>
    <n v="117279"/>
    <x v="0"/>
    <x v="1"/>
    <n v="254"/>
  </r>
  <r>
    <x v="0"/>
    <n v="234583"/>
    <s v="Клієнт 18"/>
    <x v="0"/>
    <n v="117291"/>
    <x v="1"/>
    <x v="3"/>
    <n v="381"/>
  </r>
  <r>
    <x v="3"/>
    <n v="234584"/>
    <s v="Клієнт 19"/>
    <x v="0"/>
    <n v="117303"/>
    <x v="0"/>
    <x v="3"/>
    <n v="254"/>
  </r>
  <r>
    <x v="4"/>
    <n v="234585"/>
    <s v="Клієнт 20"/>
    <x v="0"/>
    <n v="117315"/>
    <x v="1"/>
    <x v="6"/>
    <n v="254"/>
  </r>
  <r>
    <x v="0"/>
    <n v="234586"/>
    <s v="Клієнт 21"/>
    <x v="1"/>
    <n v="117327"/>
    <x v="0"/>
    <x v="4"/>
    <n v="76.2"/>
  </r>
  <r>
    <x v="0"/>
    <n v="234587"/>
    <s v="Клієнт 22"/>
    <x v="1"/>
    <n v="117339"/>
    <x v="1"/>
    <x v="7"/>
    <n v="76.2"/>
  </r>
  <r>
    <x v="5"/>
    <n v="234588"/>
    <s v="Клієнт 23"/>
    <x v="1"/>
    <n v="117351"/>
    <x v="0"/>
    <x v="0"/>
    <n v="76.2"/>
  </r>
  <r>
    <x v="1"/>
    <n v="234589"/>
    <s v="Клієнт 24"/>
    <x v="1"/>
    <n v="117363"/>
    <x v="1"/>
    <x v="8"/>
    <n v="76.2"/>
  </r>
  <r>
    <x v="0"/>
    <n v="234590"/>
    <s v="Клієнт 25"/>
    <x v="0"/>
    <n v="117375"/>
    <x v="1"/>
    <x v="3"/>
    <n v="127"/>
  </r>
  <r>
    <x v="3"/>
    <n v="234591"/>
    <s v="Клієнт 26"/>
    <x v="0"/>
    <n v="117387"/>
    <x v="0"/>
    <x v="2"/>
    <n v="127"/>
  </r>
  <r>
    <x v="4"/>
    <n v="234592"/>
    <s v="Клієнт 27"/>
    <x v="1"/>
    <n v="117399"/>
    <x v="1"/>
    <x v="5"/>
    <n v="76.2"/>
  </r>
  <r>
    <x v="0"/>
    <n v="234593"/>
    <s v="Клієнт 28"/>
    <x v="0"/>
    <n v="117411"/>
    <x v="0"/>
    <x v="3"/>
    <n v="127"/>
  </r>
  <r>
    <x v="5"/>
    <n v="234594"/>
    <s v="Клієнт 29"/>
    <x v="1"/>
    <n v="117423"/>
    <x v="1"/>
    <x v="0"/>
    <n v="76.2"/>
  </r>
  <r>
    <x v="0"/>
    <n v="234595"/>
    <s v="Клієнт 30"/>
    <x v="0"/>
    <n v="117435"/>
    <x v="0"/>
    <x v="8"/>
    <n v="127"/>
  </r>
  <r>
    <x v="1"/>
    <n v="234596"/>
    <s v="Клієнт 31"/>
    <x v="1"/>
    <n v="117447"/>
    <x v="1"/>
    <x v="9"/>
    <n v="76.2"/>
  </r>
  <r>
    <x v="2"/>
    <n v="234597"/>
    <s v="Клієнт 32"/>
    <x v="0"/>
    <n v="117459"/>
    <x v="1"/>
    <x v="1"/>
    <n v="127"/>
  </r>
  <r>
    <x v="3"/>
    <n v="234598"/>
    <s v="Клієнт 33"/>
    <x v="1"/>
    <n v="117471"/>
    <x v="0"/>
    <x v="4"/>
    <n v="76.2"/>
  </r>
  <r>
    <x v="4"/>
    <n v="234599"/>
    <s v="Клієнт 34"/>
    <x v="1"/>
    <n v="117483"/>
    <x v="1"/>
    <x v="7"/>
    <n v="76.2"/>
  </r>
  <r>
    <x v="0"/>
    <n v="234600"/>
    <s v="Клієнт 35"/>
    <x v="1"/>
    <n v="117495"/>
    <x v="0"/>
    <x v="3"/>
    <n v="76.2"/>
  </r>
  <r>
    <x v="5"/>
    <n v="234601"/>
    <s v="Клієнт 36"/>
    <x v="1"/>
    <n v="117507"/>
    <x v="1"/>
    <x v="8"/>
    <n v="76.2"/>
  </r>
  <r>
    <x v="5"/>
    <n v="234602"/>
    <s v="Клієнт 37"/>
    <x v="1"/>
    <n v="117519"/>
    <x v="0"/>
    <x v="8"/>
    <n v="76.2"/>
  </r>
  <r>
    <x v="1"/>
    <n v="234603"/>
    <s v="Клієнт 38"/>
    <x v="0"/>
    <n v="117531"/>
    <x v="1"/>
    <x v="8"/>
    <n v="127"/>
  </r>
  <r>
    <x v="0"/>
    <n v="234604"/>
    <s v="Клієнт 39"/>
    <x v="0"/>
    <n v="117543"/>
    <x v="1"/>
    <x v="3"/>
    <n v="127"/>
  </r>
  <r>
    <x v="3"/>
    <n v="234605"/>
    <s v="Клієнт 40"/>
    <x v="0"/>
    <n v="117555"/>
    <x v="0"/>
    <x v="2"/>
    <n v="127"/>
  </r>
  <r>
    <x v="0"/>
    <n v="234606"/>
    <s v="Клієнт 41"/>
    <x v="0"/>
    <n v="117567"/>
    <x v="1"/>
    <x v="3"/>
    <n v="127"/>
  </r>
  <r>
    <x v="0"/>
    <n v="234607"/>
    <s v="Клієнт 42"/>
    <x v="0"/>
    <n v="117579"/>
    <x v="0"/>
    <x v="3"/>
    <n v="127"/>
  </r>
  <r>
    <x v="0"/>
    <n v="234608"/>
    <s v="Клієнт 43"/>
    <x v="0"/>
    <n v="117591"/>
    <x v="1"/>
    <x v="3"/>
    <n v="127"/>
  </r>
  <r>
    <x v="0"/>
    <n v="234609"/>
    <s v="Клієнт 44"/>
    <x v="1"/>
    <n v="117603"/>
    <x v="0"/>
    <x v="5"/>
    <n v="76.2"/>
  </r>
  <r>
    <x v="1"/>
    <n v="234610"/>
    <s v="Клієнт 45"/>
    <x v="1"/>
    <n v="117615"/>
    <x v="1"/>
    <x v="9"/>
    <n v="76.2"/>
  </r>
  <r>
    <x v="2"/>
    <n v="234611"/>
    <s v="Клієнт 46"/>
    <x v="1"/>
    <n v="117627"/>
    <x v="1"/>
    <x v="2"/>
    <n v="76.2"/>
  </r>
  <r>
    <x v="3"/>
    <n v="234612"/>
    <s v="Клієнт 47"/>
    <x v="1"/>
    <n v="117639"/>
    <x v="0"/>
    <x v="3"/>
    <n v="76.2"/>
  </r>
  <r>
    <x v="4"/>
    <n v="234613"/>
    <s v="Клієнт 48"/>
    <x v="1"/>
    <n v="117651"/>
    <x v="1"/>
    <x v="3"/>
    <n v="76.2"/>
  </r>
  <r>
    <x v="0"/>
    <n v="234614"/>
    <s v="Клієнт 49"/>
    <x v="1"/>
    <n v="117663"/>
    <x v="0"/>
    <x v="3"/>
    <n v="76.2"/>
  </r>
  <r>
    <x v="5"/>
    <n v="234615"/>
    <s v="Клієнт 50"/>
    <x v="1"/>
    <n v="117675"/>
    <x v="1"/>
    <x v="0"/>
    <n v="76.2"/>
  </r>
  <r>
    <x v="5"/>
    <n v="234616"/>
    <s v="Клієнт 51"/>
    <x v="1"/>
    <n v="117687"/>
    <x v="0"/>
    <x v="8"/>
    <n v="76.2"/>
  </r>
  <r>
    <x v="1"/>
    <n v="234617"/>
    <s v="Клієнт 52"/>
    <x v="1"/>
    <n v="117699"/>
    <x v="1"/>
    <x v="8"/>
    <n v="76.2"/>
  </r>
  <r>
    <x v="2"/>
    <n v="234618"/>
    <s v="Клієнт 53"/>
    <x v="1"/>
    <n v="117711"/>
    <x v="1"/>
    <x v="2"/>
    <n v="76.2"/>
  </r>
  <r>
    <x v="3"/>
    <n v="234619"/>
    <s v="Клієнт 54"/>
    <x v="0"/>
    <n v="117723"/>
    <x v="0"/>
    <x v="3"/>
    <n v="127"/>
  </r>
  <r>
    <x v="4"/>
    <n v="234620"/>
    <s v="Клієнт 55"/>
    <x v="0"/>
    <n v="117735"/>
    <x v="1"/>
    <x v="3"/>
    <n v="127"/>
  </r>
  <r>
    <x v="0"/>
    <n v="234621"/>
    <s v="Клієнт 56"/>
    <x v="0"/>
    <n v="117747"/>
    <x v="0"/>
    <x v="5"/>
    <n v="127"/>
  </r>
  <r>
    <x v="0"/>
    <n v="234622"/>
    <s v="Клієнт 57"/>
    <x v="1"/>
    <n v="117759"/>
    <x v="1"/>
    <x v="4"/>
    <n v="76.2"/>
  </r>
  <r>
    <x v="0"/>
    <n v="234623"/>
    <s v="Клієнт 58"/>
    <x v="1"/>
    <n v="117771"/>
    <x v="0"/>
    <x v="3"/>
    <n v="76.2"/>
  </r>
  <r>
    <x v="1"/>
    <n v="234624"/>
    <s v="Клієнт 59"/>
    <x v="1"/>
    <n v="117783"/>
    <x v="1"/>
    <x v="2"/>
    <n v="76.2"/>
  </r>
  <r>
    <x v="2"/>
    <n v="234625"/>
    <s v="Клієнт 60"/>
    <x v="1"/>
    <n v="117795"/>
    <x v="0"/>
    <x v="2"/>
    <n v="7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322E57-C450-48A5-949F-E9AD333927D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Сегмент/Посада">
  <location ref="I3:L65" firstHeaderRow="0" firstDataRow="1" firstDataCol="1"/>
  <pivotFields count="9">
    <pivotField showAll="0"/>
    <pivotField showAll="0"/>
    <pivotField dataField="1" showAll="0"/>
    <pivotField axis="axisRow" showAll="0" sortType="descending">
      <items count="16">
        <item x="7"/>
        <item x="0"/>
        <item x="11"/>
        <item x="3"/>
        <item x="2"/>
        <item x="8"/>
        <item x="9"/>
        <item x="13"/>
        <item x="6"/>
        <item x="14"/>
        <item x="12"/>
        <item x="4"/>
        <item x="10"/>
        <item x="5"/>
        <item x="1"/>
        <item t="default"/>
      </items>
      <autoSortScope>
        <pivotArea dataOnly="0" outline="0" fieldPosition="0">
          <references count="1">
            <reference field="4294967294" count="1" selected="0">
              <x v="0"/>
            </reference>
          </references>
        </pivotArea>
      </autoSortScope>
    </pivotField>
    <pivotField showAll="0">
      <items count="7">
        <item x="1"/>
        <item x="5"/>
        <item x="0"/>
        <item x="2"/>
        <item x="3"/>
        <item x="4"/>
        <item t="default"/>
      </items>
    </pivotField>
    <pivotField dataField="1" showAll="0"/>
    <pivotField showAll="0">
      <items count="3">
        <item x="0"/>
        <item x="1"/>
        <item t="default"/>
      </items>
    </pivotField>
    <pivotField showAll="0">
      <items count="3">
        <item x="1"/>
        <item x="0"/>
        <item t="default"/>
      </items>
    </pivotField>
    <pivotField axis="axisRow" showAll="0" sortType="descending">
      <items count="11">
        <item x="9"/>
        <item x="0"/>
        <item x="8"/>
        <item x="1"/>
        <item x="3"/>
        <item x="5"/>
        <item x="4"/>
        <item x="2"/>
        <item x="6"/>
        <item x="7"/>
        <item t="default"/>
      </items>
      <autoSortScope>
        <pivotArea dataOnly="0" outline="0" fieldPosition="0">
          <references count="1">
            <reference field="4294967294" count="1" selected="0">
              <x v="0"/>
            </reference>
          </references>
        </pivotArea>
      </autoSortScope>
    </pivotField>
  </pivotFields>
  <rowFields count="2">
    <field x="8"/>
    <field x="3"/>
  </rowFields>
  <rowItems count="62">
    <i>
      <x v="4"/>
    </i>
    <i r="1">
      <x v="4"/>
    </i>
    <i r="1">
      <x v="1"/>
    </i>
    <i r="1">
      <x v="11"/>
    </i>
    <i r="1">
      <x v="3"/>
    </i>
    <i r="1">
      <x v="13"/>
    </i>
    <i r="1">
      <x v="14"/>
    </i>
    <i r="1">
      <x v="10"/>
    </i>
    <i r="1">
      <x/>
    </i>
    <i r="1">
      <x v="7"/>
    </i>
    <i>
      <x v="7"/>
    </i>
    <i r="1">
      <x v="3"/>
    </i>
    <i r="1">
      <x v="13"/>
    </i>
    <i r="1">
      <x v="7"/>
    </i>
    <i r="1">
      <x v="2"/>
    </i>
    <i r="1">
      <x v="10"/>
    </i>
    <i r="1">
      <x v="11"/>
    </i>
    <i r="1">
      <x v="1"/>
    </i>
    <i r="1">
      <x v="14"/>
    </i>
    <i r="1">
      <x/>
    </i>
    <i r="1">
      <x v="6"/>
    </i>
    <i>
      <x v="1"/>
    </i>
    <i r="1">
      <x v="8"/>
    </i>
    <i r="1">
      <x v="13"/>
    </i>
    <i r="1">
      <x v="4"/>
    </i>
    <i r="1">
      <x v="3"/>
    </i>
    <i r="1">
      <x/>
    </i>
    <i r="1">
      <x v="14"/>
    </i>
    <i r="1">
      <x v="1"/>
    </i>
    <i r="1">
      <x v="11"/>
    </i>
    <i>
      <x v="3"/>
    </i>
    <i r="1">
      <x v="1"/>
    </i>
    <i r="1">
      <x v="12"/>
    </i>
    <i r="1">
      <x v="5"/>
    </i>
    <i r="1">
      <x v="3"/>
    </i>
    <i r="1">
      <x v="6"/>
    </i>
    <i>
      <x v="2"/>
    </i>
    <i r="1">
      <x v="14"/>
    </i>
    <i r="1">
      <x v="4"/>
    </i>
    <i r="1">
      <x v="3"/>
    </i>
    <i r="1">
      <x v="12"/>
    </i>
    <i>
      <x v="5"/>
    </i>
    <i r="1">
      <x v="11"/>
    </i>
    <i r="1">
      <x v="14"/>
    </i>
    <i r="1">
      <x v="13"/>
    </i>
    <i r="1">
      <x v="5"/>
    </i>
    <i r="1">
      <x/>
    </i>
    <i>
      <x v="6"/>
    </i>
    <i r="1">
      <x v="4"/>
    </i>
    <i r="1">
      <x v="12"/>
    </i>
    <i r="1">
      <x v="14"/>
    </i>
    <i r="1">
      <x v="11"/>
    </i>
    <i>
      <x v="8"/>
    </i>
    <i r="1">
      <x v="10"/>
    </i>
    <i r="1">
      <x v="6"/>
    </i>
    <i>
      <x v="9"/>
    </i>
    <i r="1">
      <x v="9"/>
    </i>
    <i r="1">
      <x v="5"/>
    </i>
    <i>
      <x/>
    </i>
    <i r="1">
      <x v="13"/>
    </i>
    <i r="1">
      <x v="5"/>
    </i>
    <i t="grand">
      <x/>
    </i>
  </rowItems>
  <colFields count="1">
    <field x="-2"/>
  </colFields>
  <colItems count="3">
    <i>
      <x/>
    </i>
    <i i="1">
      <x v="1"/>
    </i>
    <i i="2">
      <x v="2"/>
    </i>
  </colItems>
  <dataFields count="3">
    <dataField name="К-ть користувачів" fld="2" subtotal="count" baseField="0" baseItem="0"/>
    <dataField name="Сума, євро" fld="5" baseField="0" baseItem="0" numFmtId="164"/>
    <dataField name="Середній чек" fld="5" subtotal="average" baseField="4" baseItem="0" numFmtId="164"/>
  </dataFields>
  <formats count="4">
    <format dxfId="33">
      <pivotArea outline="0" fieldPosition="0">
        <references count="1">
          <reference field="4294967294" count="1">
            <x v="2"/>
          </reference>
        </references>
      </pivotArea>
    </format>
    <format dxfId="32">
      <pivotArea dataOnly="0" outline="0" fieldPosition="0">
        <references count="1">
          <reference field="4294967294" count="1">
            <x v="0"/>
          </reference>
        </references>
      </pivotArea>
    </format>
    <format dxfId="31">
      <pivotArea collapsedLevelsAreSubtotals="1" fieldPosition="0">
        <references count="3">
          <reference field="4294967294" count="1" selected="0">
            <x v="1"/>
          </reference>
          <reference field="3" count="1">
            <x v="11"/>
          </reference>
          <reference field="8" count="1" selected="0">
            <x v="4"/>
          </reference>
        </references>
      </pivotArea>
    </format>
    <format dxfId="30">
      <pivotArea outline="0" fieldPosition="0">
        <references count="1">
          <reference field="4294967294" count="1">
            <x v="1"/>
          </reference>
        </references>
      </pivotArea>
    </format>
  </format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D1B6FB-172A-4326-8764-CB84863953F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Канал/Посада">
  <location ref="A3:D62" firstHeaderRow="0" firstDataRow="1" firstDataCol="1"/>
  <pivotFields count="9">
    <pivotField showAll="0"/>
    <pivotField showAll="0"/>
    <pivotField dataField="1" showAll="0"/>
    <pivotField axis="axisRow" showAll="0" sortType="descending">
      <items count="16">
        <item x="7"/>
        <item x="0"/>
        <item x="11"/>
        <item x="3"/>
        <item x="2"/>
        <item x="8"/>
        <item x="9"/>
        <item x="13"/>
        <item x="6"/>
        <item x="14"/>
        <item x="12"/>
        <item x="4"/>
        <item x="10"/>
        <item x="5"/>
        <item x="1"/>
        <item t="default"/>
      </items>
      <autoSortScope>
        <pivotArea dataOnly="0" outline="0" fieldPosition="0">
          <references count="1">
            <reference field="4294967294" count="1" selected="0">
              <x v="0"/>
            </reference>
          </references>
        </pivotArea>
      </autoSortScope>
    </pivotField>
    <pivotField axis="axisRow" showAll="0" sortType="descending">
      <items count="7">
        <item x="1"/>
        <item x="5"/>
        <item x="0"/>
        <item x="2"/>
        <item x="3"/>
        <item x="4"/>
        <item t="default"/>
      </items>
      <autoSortScope>
        <pivotArea dataOnly="0" outline="0" fieldPosition="0">
          <references count="1">
            <reference field="4294967294" count="1" selected="0">
              <x v="0"/>
            </reference>
          </references>
        </pivotArea>
      </autoSortScope>
    </pivotField>
    <pivotField dataField="1" showAll="0"/>
    <pivotField showAll="0">
      <items count="3">
        <item x="0"/>
        <item x="1"/>
        <item t="default"/>
      </items>
    </pivotField>
    <pivotField showAll="0">
      <items count="3">
        <item x="1"/>
        <item x="0"/>
        <item t="default"/>
      </items>
    </pivotField>
    <pivotField showAll="0"/>
  </pivotFields>
  <rowFields count="2">
    <field x="4"/>
    <field x="3"/>
  </rowFields>
  <rowItems count="59">
    <i>
      <x v="2"/>
    </i>
    <i r="1">
      <x v="4"/>
    </i>
    <i r="1">
      <x v="3"/>
    </i>
    <i r="1">
      <x v="11"/>
    </i>
    <i r="1">
      <x v="1"/>
    </i>
    <i r="1">
      <x v="14"/>
    </i>
    <i r="1">
      <x v="13"/>
    </i>
    <i r="1">
      <x v="12"/>
    </i>
    <i r="1">
      <x/>
    </i>
    <i r="1">
      <x v="10"/>
    </i>
    <i r="1">
      <x v="8"/>
    </i>
    <i r="1">
      <x v="9"/>
    </i>
    <i>
      <x v="4"/>
    </i>
    <i r="1">
      <x v="1"/>
    </i>
    <i r="1">
      <x v="11"/>
    </i>
    <i r="1">
      <x v="3"/>
    </i>
    <i r="1">
      <x v="7"/>
    </i>
    <i r="1">
      <x v="2"/>
    </i>
    <i r="1">
      <x v="10"/>
    </i>
    <i r="1">
      <x v="12"/>
    </i>
    <i r="1">
      <x v="14"/>
    </i>
    <i r="1">
      <x v="13"/>
    </i>
    <i r="1">
      <x v="4"/>
    </i>
    <i r="1">
      <x/>
    </i>
    <i r="1">
      <x v="6"/>
    </i>
    <i>
      <x v="5"/>
    </i>
    <i r="1">
      <x v="13"/>
    </i>
    <i r="1">
      <x v="5"/>
    </i>
    <i r="1">
      <x v="10"/>
    </i>
    <i r="1">
      <x v="7"/>
    </i>
    <i r="1">
      <x v="11"/>
    </i>
    <i r="1">
      <x v="3"/>
    </i>
    <i r="1">
      <x/>
    </i>
    <i r="1">
      <x v="6"/>
    </i>
    <i>
      <x/>
    </i>
    <i r="1">
      <x v="12"/>
    </i>
    <i r="1">
      <x v="8"/>
    </i>
    <i r="1">
      <x v="14"/>
    </i>
    <i r="1">
      <x v="1"/>
    </i>
    <i r="1">
      <x v="11"/>
    </i>
    <i r="1">
      <x v="3"/>
    </i>
    <i r="1">
      <x v="13"/>
    </i>
    <i r="1">
      <x v="4"/>
    </i>
    <i r="1">
      <x/>
    </i>
    <i r="1">
      <x v="5"/>
    </i>
    <i>
      <x v="3"/>
    </i>
    <i r="1">
      <x v="3"/>
    </i>
    <i r="1">
      <x v="5"/>
    </i>
    <i r="1">
      <x v="13"/>
    </i>
    <i r="1">
      <x v="12"/>
    </i>
    <i r="1">
      <x v="14"/>
    </i>
    <i r="1">
      <x v="1"/>
    </i>
    <i r="1">
      <x v="6"/>
    </i>
    <i>
      <x v="1"/>
    </i>
    <i r="1">
      <x v="14"/>
    </i>
    <i r="1">
      <x v="4"/>
    </i>
    <i r="1">
      <x v="13"/>
    </i>
    <i r="1">
      <x v="8"/>
    </i>
    <i t="grand">
      <x/>
    </i>
  </rowItems>
  <colFields count="1">
    <field x="-2"/>
  </colFields>
  <colItems count="3">
    <i>
      <x/>
    </i>
    <i i="1">
      <x v="1"/>
    </i>
    <i i="2">
      <x v="2"/>
    </i>
  </colItems>
  <dataFields count="3">
    <dataField name="К-ть користувачів" fld="2" subtotal="count" baseField="0" baseItem="0"/>
    <dataField name="Сума, євро" fld="5" baseField="0" baseItem="0" numFmtId="164"/>
    <dataField name="Середній чек" fld="5" subtotal="average" baseField="4" baseItem="0" numFmtId="164"/>
  </dataFields>
  <formats count="4">
    <format dxfId="37">
      <pivotArea collapsedLevelsAreSubtotals="1" fieldPosition="0">
        <references count="3">
          <reference field="4294967294" count="1" selected="0">
            <x v="1"/>
          </reference>
          <reference field="3" count="1">
            <x v="4"/>
          </reference>
          <reference field="4" count="1" selected="0">
            <x v="0"/>
          </reference>
        </references>
      </pivotArea>
    </format>
    <format dxfId="36">
      <pivotArea outline="0" fieldPosition="0">
        <references count="1">
          <reference field="4294967294" count="1">
            <x v="2"/>
          </reference>
        </references>
      </pivotArea>
    </format>
    <format dxfId="35">
      <pivotArea dataOnly="0" outline="0" fieldPosition="0">
        <references count="1">
          <reference field="4294967294" count="1">
            <x v="0"/>
          </reference>
        </references>
      </pivotArea>
    </format>
    <format dxfId="34">
      <pivotArea outline="0" fieldPosition="0">
        <references count="1">
          <reference field="4294967294" count="1">
            <x v="1"/>
          </reference>
        </references>
      </pivotArea>
    </format>
  </format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3D20CF-FCE7-4F0B-A39B-5538172AB4F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Сегмент">
  <location ref="N19:Q30" firstHeaderRow="0" firstDataRow="1" firstDataCol="1"/>
  <pivotFields count="8">
    <pivotField showAll="0" sortType="descending">
      <items count="7">
        <item x="1"/>
        <item x="5"/>
        <item x="0"/>
        <item x="2"/>
        <item x="3"/>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3">
        <item x="1"/>
        <item x="0"/>
        <item t="default"/>
      </items>
    </pivotField>
    <pivotField showAll="0"/>
    <pivotField showAll="0">
      <items count="3">
        <item x="0"/>
        <item x="1"/>
        <item t="default"/>
      </items>
    </pivotField>
    <pivotField axis="axisRow" showAll="0" sortType="descending">
      <items count="11">
        <item x="9"/>
        <item x="0"/>
        <item x="8"/>
        <item x="1"/>
        <item x="3"/>
        <item x="5"/>
        <item x="4"/>
        <item x="2"/>
        <item x="6"/>
        <item x="7"/>
        <item t="default"/>
      </items>
      <autoSortScope>
        <pivotArea dataOnly="0" outline="0" fieldPosition="0">
          <references count="1">
            <reference field="4294967294" count="1" selected="0">
              <x v="0"/>
            </reference>
          </references>
        </pivotArea>
      </autoSortScope>
    </pivotField>
    <pivotField dataField="1" showAll="0"/>
  </pivotFields>
  <rowFields count="1">
    <field x="6"/>
  </rowFields>
  <rowItems count="11">
    <i>
      <x v="4"/>
    </i>
    <i>
      <x v="7"/>
    </i>
    <i>
      <x v="1"/>
    </i>
    <i>
      <x v="2"/>
    </i>
    <i>
      <x v="6"/>
    </i>
    <i>
      <x v="5"/>
    </i>
    <i>
      <x v="3"/>
    </i>
    <i>
      <x/>
    </i>
    <i>
      <x v="9"/>
    </i>
    <i>
      <x v="8"/>
    </i>
    <i t="grand">
      <x/>
    </i>
  </rowItems>
  <colFields count="1">
    <field x="-2"/>
  </colFields>
  <colItems count="3">
    <i>
      <x/>
    </i>
    <i i="1">
      <x v="1"/>
    </i>
    <i i="2">
      <x v="2"/>
    </i>
  </colItems>
  <dataFields count="3">
    <dataField name="К-ть клієнтів" fld="2" subtotal="count" baseField="0" baseItem="0"/>
    <dataField name=" Сума, євро" fld="7" baseField="0" baseItem="0" numFmtId="164"/>
    <dataField name="Середній чек, євро" fld="7" subtotal="average" baseField="0" baseItem="0" numFmtId="164"/>
  </dataFields>
  <formats count="4">
    <format dxfId="41">
      <pivotArea dataOnly="0" outline="0" fieldPosition="0">
        <references count="1">
          <reference field="4294967294" count="1">
            <x v="0"/>
          </reference>
        </references>
      </pivotArea>
    </format>
    <format dxfId="40">
      <pivotArea collapsedLevelsAreSubtotals="1" fieldPosition="0">
        <references count="2">
          <reference field="4294967294" count="1" selected="0">
            <x v="2"/>
          </reference>
          <reference field="6" count="1">
            <x v="6"/>
          </reference>
        </references>
      </pivotArea>
    </format>
    <format dxfId="39">
      <pivotArea outline="0" fieldPosition="0">
        <references count="1">
          <reference field="4294967294" count="1">
            <x v="2"/>
          </reference>
        </references>
      </pivotArea>
    </format>
    <format dxfId="38">
      <pivotArea outline="0" fieldPosition="0">
        <references count="1">
          <reference field="4294967294" count="1">
            <x v="1"/>
          </reference>
        </references>
      </pivotArea>
    </format>
  </formats>
  <pivotTableStyleInfo name="PivotStyleMedium11"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F38157-3FE4-41AE-8C4B-85E64837F56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Канал">
  <location ref="N3:Q10" firstHeaderRow="0" firstDataRow="1" firstDataCol="1"/>
  <pivotFields count="8">
    <pivotField axis="axisRow" showAll="0" sortType="descending">
      <items count="7">
        <item x="1"/>
        <item x="5"/>
        <item x="0"/>
        <item x="2"/>
        <item x="3"/>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3">
        <item x="1"/>
        <item x="0"/>
        <item t="default"/>
      </items>
    </pivotField>
    <pivotField showAll="0"/>
    <pivotField showAll="0">
      <items count="3">
        <item x="0"/>
        <item x="1"/>
        <item t="default"/>
      </items>
    </pivotField>
    <pivotField showAll="0"/>
    <pivotField dataField="1" showAll="0"/>
  </pivotFields>
  <rowFields count="1">
    <field x="0"/>
  </rowFields>
  <rowItems count="7">
    <i>
      <x v="2"/>
    </i>
    <i>
      <x v="5"/>
    </i>
    <i>
      <x v="4"/>
    </i>
    <i>
      <x/>
    </i>
    <i>
      <x v="1"/>
    </i>
    <i>
      <x v="3"/>
    </i>
    <i t="grand">
      <x/>
    </i>
  </rowItems>
  <colFields count="1">
    <field x="-2"/>
  </colFields>
  <colItems count="3">
    <i>
      <x/>
    </i>
    <i i="1">
      <x v="1"/>
    </i>
    <i i="2">
      <x v="2"/>
    </i>
  </colItems>
  <dataFields count="3">
    <dataField name="К-ть клієнтів" fld="2" subtotal="count" baseField="0" baseItem="0"/>
    <dataField name=" Сума, євро" fld="7" baseField="0" baseItem="0" numFmtId="164"/>
    <dataField name="Середній чек, євро" fld="7" subtotal="average" baseField="0" baseItem="0"/>
  </dataFields>
  <formats count="3">
    <format dxfId="44">
      <pivotArea dataOnly="0" outline="0" fieldPosition="0">
        <references count="1">
          <reference field="4294967294" count="1">
            <x v="0"/>
          </reference>
        </references>
      </pivotArea>
    </format>
    <format dxfId="43">
      <pivotArea outline="0" fieldPosition="0">
        <references count="1">
          <reference field="4294967294" count="1">
            <x v="1"/>
          </reference>
        </references>
      </pivotArea>
    </format>
    <format dxfId="42">
      <pivotArea collapsedLevelsAreSubtotals="1" fieldPosition="0">
        <references count="2">
          <reference field="4294967294" count="1" selected="0">
            <x v="2"/>
          </reference>
          <reference field="0" count="1">
            <x v="4"/>
          </reference>
        </references>
      </pivotArea>
    </format>
  </formats>
  <pivotTableStyleInfo name="PivotStyleMedium11"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Дата" xr10:uid="{9124D801-B6C1-4EC6-AD83-78E0026F243B}" sourceName="Дата">
  <pivotTables>
    <pivotTable tabId="6" name="PivotTable2"/>
    <pivotTable tabId="6" name="PivotTable3"/>
  </pivotTables>
  <data>
    <tabular pivotCacheId="90591640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Прайс" xr10:uid="{C81A310E-258D-4A0C-9977-5E5E5F933752}" sourceName="Прайс">
  <pivotTables>
    <pivotTable tabId="6" name="PivotTable2"/>
    <pivotTable tabId="6" name="PivotTable3"/>
  </pivotTables>
  <data>
    <tabular pivotCacheId="90591640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Прайс1" xr10:uid="{B0571074-1212-4313-B404-7D1D06BB5C1D}" sourceName="Прайс">
  <pivotTables>
    <pivotTable tabId="6" name="PivotTable4"/>
    <pivotTable tabId="6" name="PivotTable6"/>
  </pivotTables>
  <data>
    <tabular pivotCacheId="74781777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Рік_місяць" xr10:uid="{413232BB-598B-465E-8C61-4CD5705C391B}" sourceName="Рік_місяць">
  <pivotTables>
    <pivotTable tabId="6" name="PivotTable4"/>
    <pivotTable tabId="6" name="PivotTable6"/>
  </pivotTables>
  <data>
    <tabular pivotCacheId="74781777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Дата" xr10:uid="{3B915A48-78B8-48A2-9138-D9DDF39A541F}" cache="Slicer_Дата" caption="Дата" rowHeight="257175"/>
  <slicer name="Прайс" xr10:uid="{376BCA0C-5E5B-4C3E-9457-7CB4DDDC6B8A}" cache="Slicer_Прайс" caption="Прайс" rowHeight="257175"/>
  <slicer name="Прайс 1" xr10:uid="{E1AC50EC-D0D8-4C10-B712-969439364D33}" cache="Slicer_Прайс1" caption="Прайс" style="SlicerStyleLight3" rowHeight="257175"/>
  <slicer name="Рік_місяць" xr10:uid="{02062421-CF79-4B37-86FC-EA48CD00BC9E}" cache="Slicer_Рік_місяць" caption="Рік_місяць" style="SlicerStyleLight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C613E0-59C2-4763-95FC-6CCC09C4CC56}" name="Table2" displayName="Table2" ref="A1:I82" totalsRowShown="0" headerRowDxfId="29" dataDxfId="27" headerRowBorderDxfId="28" tableBorderDxfId="26">
  <autoFilter ref="A1:I82" xr:uid="{22C613E0-59C2-4763-95FC-6CCC09C4CC56}"/>
  <tableColumns count="9">
    <tableColumn id="1" xr3:uid="{177B8B71-BD36-454B-93C1-B98629DEE8C2}" name="ID" dataDxfId="25"/>
    <tableColumn id="2" xr3:uid="{FA8E777B-3ED4-4695-95A4-3EDEB05571D0}" name="Клієнт" dataDxfId="24"/>
    <tableColumn id="3" xr3:uid="{69F983BA-7B7D-4AD5-B3D1-927034CC5D86}" name="Логін" dataDxfId="23"/>
    <tableColumn id="4" xr3:uid="{C0C9D8E1-42AF-472B-8E5C-23602C1963F3}" name="Посада" dataDxfId="22"/>
    <tableColumn id="5" xr3:uid="{4389CD59-19AA-4528-B860-56D55C3CBDE1}" name="Канал продаж" dataDxfId="21">
      <calculatedColumnFormula>_xlfn.XLOOKUP(Table2[[#This Row],[ID]],Table1[ID],Table1[Канал продажу],"",0,1)</calculatedColumnFormula>
    </tableColumn>
    <tableColumn id="6" xr3:uid="{C6DA6B60-F167-49D3-9CAF-D51282842AE3}" name="Сума" dataDxfId="20">
      <calculatedColumnFormula>_xlfn.XLOOKUP(Table2[[#This Row],[ID]],Table1[ID],Table1[Сума, євро],"",0,1)</calculatedColumnFormula>
    </tableColumn>
    <tableColumn id="7" xr3:uid="{2DF3C881-1C27-4421-8B2C-6AE45F0BDEA9}" name="Дата" dataDxfId="19">
      <calculatedColumnFormula>_xlfn.XLOOKUP(Table2[[#This Row],[ID]],Table1[ID],Table1[Рік_місяць],"",0,1)</calculatedColumnFormula>
    </tableColumn>
    <tableColumn id="8" xr3:uid="{479C3921-93B9-4DE1-99A0-1F5D41CD5C38}" name="Прайс" dataDxfId="18">
      <calculatedColumnFormula>_xlfn.XLOOKUP(Table2[[#This Row],[ID]],Table1[ID],Table1[Прайс],"",0,1)</calculatedColumnFormula>
    </tableColumn>
    <tableColumn id="9" xr3:uid="{48945B9A-42C2-408B-83B4-58BE074A212D}" name="Сегмент" dataDxfId="17">
      <calculatedColumnFormula>_xlfn.XLOOKUP(Table2[[#This Row],[ID]],Table1[ID],Table1[Сегмент],"",0,1)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D4A07C-02B4-40D6-AC16-5ADB0E9C7290}" name="Table1" displayName="Table1" ref="A1:H61" totalsRowShown="0" headerRowDxfId="16" dataDxfId="15" tableBorderDxfId="14">
  <autoFilter ref="A1:H61" xr:uid="{5AD4A07C-02B4-40D6-AC16-5ADB0E9C7290}"/>
  <tableColumns count="8">
    <tableColumn id="1" xr3:uid="{742584F9-0B79-4E6D-BDBE-B79DB3C09456}" name="Канал продажу" dataDxfId="13"/>
    <tableColumn id="2" xr3:uid="{AA19602A-1622-45ED-A8E8-FEE805156909}" name="ID" dataDxfId="12"/>
    <tableColumn id="3" xr3:uid="{A7F70AE2-CEB4-424B-84E5-07F238917064}" name="Клієнт" dataDxfId="11"/>
    <tableColumn id="4" xr3:uid="{FA589D2B-137D-48BD-A564-F1DB9BA09018}" name="Прайс" dataDxfId="10"/>
    <tableColumn id="5" xr3:uid="{5831D4E0-7967-48FA-8A8A-CB0469E2E5A3}" name="Номер рахунку" dataDxfId="9"/>
    <tableColumn id="6" xr3:uid="{24735C94-715D-4AC4-A2A2-7A14E25C339F}" name="Рік_місяць" dataDxfId="8"/>
    <tableColumn id="7" xr3:uid="{9270F6BD-91D6-44F9-BCF4-E6D77FB3F6BC}" name="Сегмент" dataDxfId="7"/>
    <tableColumn id="8" xr3:uid="{79FB32F2-CE76-4296-8846-43604F4A83B5}" name="Сума, євро" dataDxfId="6"/>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3" Type="http://schemas.openxmlformats.org/officeDocument/2006/relationships/hyperlink" Target="mailto:126@mail.com" TargetMode="External"/><Relationship Id="rId18" Type="http://schemas.openxmlformats.org/officeDocument/2006/relationships/hyperlink" Target="mailto:128@mail.com" TargetMode="External"/><Relationship Id="rId26" Type="http://schemas.openxmlformats.org/officeDocument/2006/relationships/hyperlink" Target="mailto:134@mail.com" TargetMode="External"/><Relationship Id="rId39" Type="http://schemas.openxmlformats.org/officeDocument/2006/relationships/hyperlink" Target="mailto:147@mail.com" TargetMode="External"/><Relationship Id="rId21" Type="http://schemas.openxmlformats.org/officeDocument/2006/relationships/hyperlink" Target="mailto:130@mail.com" TargetMode="External"/><Relationship Id="rId34" Type="http://schemas.openxmlformats.org/officeDocument/2006/relationships/hyperlink" Target="mailto:142@mail.com" TargetMode="External"/><Relationship Id="rId42" Type="http://schemas.openxmlformats.org/officeDocument/2006/relationships/hyperlink" Target="mailto:150@mail.com" TargetMode="External"/><Relationship Id="rId47" Type="http://schemas.openxmlformats.org/officeDocument/2006/relationships/hyperlink" Target="mailto:155@mail.com" TargetMode="External"/><Relationship Id="rId50" Type="http://schemas.openxmlformats.org/officeDocument/2006/relationships/hyperlink" Target="mailto:158@mail.com" TargetMode="External"/><Relationship Id="rId55" Type="http://schemas.openxmlformats.org/officeDocument/2006/relationships/hyperlink" Target="mailto:163@mail.com" TargetMode="External"/><Relationship Id="rId63" Type="http://schemas.openxmlformats.org/officeDocument/2006/relationships/table" Target="../tables/table1.xml"/><Relationship Id="rId7" Type="http://schemas.openxmlformats.org/officeDocument/2006/relationships/hyperlink" Target="mailto:120@mail.com" TargetMode="External"/><Relationship Id="rId2" Type="http://schemas.openxmlformats.org/officeDocument/2006/relationships/hyperlink" Target="mailto:115@mail.com" TargetMode="External"/><Relationship Id="rId16" Type="http://schemas.openxmlformats.org/officeDocument/2006/relationships/hyperlink" Target="mailto:127@mail.com" TargetMode="External"/><Relationship Id="rId20" Type="http://schemas.openxmlformats.org/officeDocument/2006/relationships/hyperlink" Target="mailto:129@mail.com" TargetMode="External"/><Relationship Id="rId29" Type="http://schemas.openxmlformats.org/officeDocument/2006/relationships/hyperlink" Target="mailto:137@mail.com" TargetMode="External"/><Relationship Id="rId41" Type="http://schemas.openxmlformats.org/officeDocument/2006/relationships/hyperlink" Target="mailto:149@mail.com" TargetMode="External"/><Relationship Id="rId54" Type="http://schemas.openxmlformats.org/officeDocument/2006/relationships/hyperlink" Target="mailto:162@mail.com" TargetMode="External"/><Relationship Id="rId62" Type="http://schemas.openxmlformats.org/officeDocument/2006/relationships/hyperlink" Target="mailto:170@mail.com" TargetMode="External"/><Relationship Id="rId1" Type="http://schemas.openxmlformats.org/officeDocument/2006/relationships/hyperlink" Target="mailto:115@mail.com" TargetMode="External"/><Relationship Id="rId6" Type="http://schemas.openxmlformats.org/officeDocument/2006/relationships/hyperlink" Target="mailto:119@mail.com" TargetMode="External"/><Relationship Id="rId11" Type="http://schemas.openxmlformats.org/officeDocument/2006/relationships/hyperlink" Target="mailto:124@mail.com" TargetMode="External"/><Relationship Id="rId24" Type="http://schemas.openxmlformats.org/officeDocument/2006/relationships/hyperlink" Target="mailto:132@mail.com" TargetMode="External"/><Relationship Id="rId32" Type="http://schemas.openxmlformats.org/officeDocument/2006/relationships/hyperlink" Target="mailto:140@mail.com" TargetMode="External"/><Relationship Id="rId37" Type="http://schemas.openxmlformats.org/officeDocument/2006/relationships/hyperlink" Target="mailto:145@mail.com" TargetMode="External"/><Relationship Id="rId40" Type="http://schemas.openxmlformats.org/officeDocument/2006/relationships/hyperlink" Target="mailto:148@mail.com" TargetMode="External"/><Relationship Id="rId45" Type="http://schemas.openxmlformats.org/officeDocument/2006/relationships/hyperlink" Target="mailto:153@mail.com" TargetMode="External"/><Relationship Id="rId53" Type="http://schemas.openxmlformats.org/officeDocument/2006/relationships/hyperlink" Target="mailto:161@mail.com" TargetMode="External"/><Relationship Id="rId58" Type="http://schemas.openxmlformats.org/officeDocument/2006/relationships/hyperlink" Target="mailto:166@mail.com" TargetMode="External"/><Relationship Id="rId5" Type="http://schemas.openxmlformats.org/officeDocument/2006/relationships/hyperlink" Target="mailto:118@mail.com" TargetMode="External"/><Relationship Id="rId15" Type="http://schemas.openxmlformats.org/officeDocument/2006/relationships/hyperlink" Target="mailto:127@mail.com" TargetMode="External"/><Relationship Id="rId23" Type="http://schemas.openxmlformats.org/officeDocument/2006/relationships/hyperlink" Target="mailto:131@mail.com" TargetMode="External"/><Relationship Id="rId28" Type="http://schemas.openxmlformats.org/officeDocument/2006/relationships/hyperlink" Target="mailto:136@mail.com" TargetMode="External"/><Relationship Id="rId36" Type="http://schemas.openxmlformats.org/officeDocument/2006/relationships/hyperlink" Target="mailto:144@mail.com" TargetMode="External"/><Relationship Id="rId49" Type="http://schemas.openxmlformats.org/officeDocument/2006/relationships/hyperlink" Target="mailto:157@mail.com" TargetMode="External"/><Relationship Id="rId57" Type="http://schemas.openxmlformats.org/officeDocument/2006/relationships/hyperlink" Target="mailto:165@mail.com" TargetMode="External"/><Relationship Id="rId61" Type="http://schemas.openxmlformats.org/officeDocument/2006/relationships/hyperlink" Target="mailto:169@mail.com" TargetMode="External"/><Relationship Id="rId10" Type="http://schemas.openxmlformats.org/officeDocument/2006/relationships/hyperlink" Target="mailto:123@mail.com" TargetMode="External"/><Relationship Id="rId19" Type="http://schemas.openxmlformats.org/officeDocument/2006/relationships/hyperlink" Target="mailto:129@mail.com" TargetMode="External"/><Relationship Id="rId31" Type="http://schemas.openxmlformats.org/officeDocument/2006/relationships/hyperlink" Target="mailto:139@mail.com" TargetMode="External"/><Relationship Id="rId44" Type="http://schemas.openxmlformats.org/officeDocument/2006/relationships/hyperlink" Target="mailto:152@mail.com" TargetMode="External"/><Relationship Id="rId52" Type="http://schemas.openxmlformats.org/officeDocument/2006/relationships/hyperlink" Target="mailto:160@mail.com" TargetMode="External"/><Relationship Id="rId60" Type="http://schemas.openxmlformats.org/officeDocument/2006/relationships/hyperlink" Target="mailto:168@mail.com" TargetMode="External"/><Relationship Id="rId4" Type="http://schemas.openxmlformats.org/officeDocument/2006/relationships/hyperlink" Target="mailto:117@mail.com" TargetMode="External"/><Relationship Id="rId9" Type="http://schemas.openxmlformats.org/officeDocument/2006/relationships/hyperlink" Target="mailto:122@mail.com" TargetMode="External"/><Relationship Id="rId14" Type="http://schemas.openxmlformats.org/officeDocument/2006/relationships/hyperlink" Target="mailto:126@mail.com" TargetMode="External"/><Relationship Id="rId22" Type="http://schemas.openxmlformats.org/officeDocument/2006/relationships/hyperlink" Target="mailto:130@mail.com" TargetMode="External"/><Relationship Id="rId27" Type="http://schemas.openxmlformats.org/officeDocument/2006/relationships/hyperlink" Target="mailto:135@mail.com" TargetMode="External"/><Relationship Id="rId30" Type="http://schemas.openxmlformats.org/officeDocument/2006/relationships/hyperlink" Target="mailto:138@mail.com" TargetMode="External"/><Relationship Id="rId35" Type="http://schemas.openxmlformats.org/officeDocument/2006/relationships/hyperlink" Target="mailto:143@mail.com" TargetMode="External"/><Relationship Id="rId43" Type="http://schemas.openxmlformats.org/officeDocument/2006/relationships/hyperlink" Target="mailto:151@mail.com" TargetMode="External"/><Relationship Id="rId48" Type="http://schemas.openxmlformats.org/officeDocument/2006/relationships/hyperlink" Target="mailto:156@mail.com" TargetMode="External"/><Relationship Id="rId56" Type="http://schemas.openxmlformats.org/officeDocument/2006/relationships/hyperlink" Target="mailto:164@mail.com" TargetMode="External"/><Relationship Id="rId8" Type="http://schemas.openxmlformats.org/officeDocument/2006/relationships/hyperlink" Target="mailto:121@mail.com" TargetMode="External"/><Relationship Id="rId51" Type="http://schemas.openxmlformats.org/officeDocument/2006/relationships/hyperlink" Target="mailto:159@mail.com" TargetMode="External"/><Relationship Id="rId3" Type="http://schemas.openxmlformats.org/officeDocument/2006/relationships/hyperlink" Target="mailto:116@mail.com" TargetMode="External"/><Relationship Id="rId12" Type="http://schemas.openxmlformats.org/officeDocument/2006/relationships/hyperlink" Target="mailto:125@mail.com" TargetMode="External"/><Relationship Id="rId17" Type="http://schemas.openxmlformats.org/officeDocument/2006/relationships/hyperlink" Target="mailto:128@mail.com" TargetMode="External"/><Relationship Id="rId25" Type="http://schemas.openxmlformats.org/officeDocument/2006/relationships/hyperlink" Target="mailto:133@mail.com" TargetMode="External"/><Relationship Id="rId33" Type="http://schemas.openxmlformats.org/officeDocument/2006/relationships/hyperlink" Target="mailto:141@mail.com" TargetMode="External"/><Relationship Id="rId38" Type="http://schemas.openxmlformats.org/officeDocument/2006/relationships/hyperlink" Target="mailto:146@mail.com" TargetMode="External"/><Relationship Id="rId46" Type="http://schemas.openxmlformats.org/officeDocument/2006/relationships/hyperlink" Target="mailto:154@mail.com" TargetMode="External"/><Relationship Id="rId59" Type="http://schemas.openxmlformats.org/officeDocument/2006/relationships/hyperlink" Target="mailto:167@mail.com"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4B560-5EE5-49F9-975C-FF0C65E8DCEA}">
  <sheetPr>
    <tabColor theme="6" tint="0.59999389629810485"/>
  </sheetPr>
  <dimension ref="A1:B16"/>
  <sheetViews>
    <sheetView workbookViewId="0">
      <selection activeCell="B16" sqref="B16"/>
    </sheetView>
  </sheetViews>
  <sheetFormatPr defaultColWidth="8.85546875" defaultRowHeight="15.75" x14ac:dyDescent="0.25"/>
  <cols>
    <col min="1" max="1" width="23.5703125" style="7" customWidth="1"/>
    <col min="2" max="2" width="109.7109375" style="7" customWidth="1"/>
    <col min="3" max="16384" width="8.85546875" style="1"/>
  </cols>
  <sheetData>
    <row r="1" spans="1:2" ht="21" x14ac:dyDescent="0.25">
      <c r="A1" s="25" t="s">
        <v>0</v>
      </c>
      <c r="B1" s="25"/>
    </row>
    <row r="2" spans="1:2" x14ac:dyDescent="0.25">
      <c r="A2" s="5"/>
      <c r="B2" s="5"/>
    </row>
    <row r="3" spans="1:2" x14ac:dyDescent="0.25">
      <c r="A3" s="6" t="s">
        <v>1</v>
      </c>
      <c r="B3" s="5" t="s">
        <v>2</v>
      </c>
    </row>
    <row r="4" spans="1:2" x14ac:dyDescent="0.25">
      <c r="A4" s="6"/>
      <c r="B4" s="5"/>
    </row>
    <row r="5" spans="1:2" x14ac:dyDescent="0.25">
      <c r="A5" s="6" t="s">
        <v>3</v>
      </c>
      <c r="B5" s="5"/>
    </row>
    <row r="6" spans="1:2" x14ac:dyDescent="0.25">
      <c r="A6" s="10" t="s">
        <v>4</v>
      </c>
      <c r="B6" s="5" t="s">
        <v>5</v>
      </c>
    </row>
    <row r="7" spans="1:2" ht="18" customHeight="1" x14ac:dyDescent="0.25">
      <c r="A7" s="11" t="s">
        <v>6</v>
      </c>
      <c r="B7" s="5" t="s">
        <v>7</v>
      </c>
    </row>
    <row r="8" spans="1:2" ht="18" customHeight="1" x14ac:dyDescent="0.25">
      <c r="A8" s="8"/>
      <c r="B8" s="5"/>
    </row>
    <row r="9" spans="1:2" ht="31.5" x14ac:dyDescent="0.25">
      <c r="A9" s="6" t="s">
        <v>8</v>
      </c>
      <c r="B9" s="5" t="s">
        <v>9</v>
      </c>
    </row>
    <row r="10" spans="1:2" x14ac:dyDescent="0.25">
      <c r="A10" s="6"/>
      <c r="B10" s="5"/>
    </row>
    <row r="11" spans="1:2" ht="30.6" customHeight="1" x14ac:dyDescent="0.25">
      <c r="A11" s="24" t="s">
        <v>10</v>
      </c>
      <c r="B11" s="5" t="s">
        <v>11</v>
      </c>
    </row>
    <row r="12" spans="1:2" ht="32.450000000000003" customHeight="1" x14ac:dyDescent="0.25">
      <c r="A12" s="24"/>
      <c r="B12" s="5" t="s">
        <v>12</v>
      </c>
    </row>
    <row r="13" spans="1:2" ht="31.5" x14ac:dyDescent="0.25">
      <c r="A13" s="24" t="s">
        <v>13</v>
      </c>
      <c r="B13" s="12" t="s">
        <v>14</v>
      </c>
    </row>
    <row r="14" spans="1:2" ht="32.450000000000003" customHeight="1" x14ac:dyDescent="0.25">
      <c r="A14" s="24"/>
      <c r="B14" s="5" t="s">
        <v>15</v>
      </c>
    </row>
    <row r="15" spans="1:2" x14ac:dyDescent="0.25">
      <c r="A15" s="6"/>
      <c r="B15" s="5"/>
    </row>
    <row r="16" spans="1:2" ht="47.25" x14ac:dyDescent="0.25">
      <c r="A16" s="9" t="s">
        <v>16</v>
      </c>
      <c r="B16" s="5" t="s">
        <v>17</v>
      </c>
    </row>
  </sheetData>
  <mergeCells count="3">
    <mergeCell ref="A13:A14"/>
    <mergeCell ref="A11:A12"/>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69F6B-F535-4B96-BD13-7F5F261C0427}">
  <dimension ref="A1:Q65"/>
  <sheetViews>
    <sheetView tabSelected="1" zoomScale="80" zoomScaleNormal="80" workbookViewId="0">
      <selection activeCell="F30" sqref="F30"/>
    </sheetView>
  </sheetViews>
  <sheetFormatPr defaultRowHeight="15" x14ac:dyDescent="0.25"/>
  <cols>
    <col min="1" max="1" width="42.7109375" bestFit="1" customWidth="1"/>
    <col min="2" max="2" width="17.85546875" bestFit="1" customWidth="1"/>
    <col min="3" max="3" width="11.28515625" bestFit="1" customWidth="1"/>
    <col min="4" max="4" width="13.85546875" bestFit="1" customWidth="1"/>
    <col min="8" max="8" width="7.7109375" customWidth="1"/>
    <col min="9" max="9" width="42.7109375" bestFit="1" customWidth="1"/>
    <col min="10" max="10" width="17.85546875" bestFit="1" customWidth="1"/>
    <col min="11" max="11" width="11.28515625" bestFit="1" customWidth="1"/>
    <col min="12" max="12" width="13.85546875" bestFit="1" customWidth="1"/>
    <col min="13" max="13" width="4.140625" customWidth="1"/>
    <col min="14" max="14" width="31.42578125" bestFit="1" customWidth="1"/>
    <col min="15" max="15" width="12.85546875" bestFit="1" customWidth="1"/>
    <col min="16" max="16" width="11.5703125" bestFit="1" customWidth="1"/>
    <col min="17" max="17" width="19.28515625" bestFit="1" customWidth="1"/>
    <col min="18" max="18" width="21" customWidth="1"/>
  </cols>
  <sheetData>
    <row r="1" spans="1:17" x14ac:dyDescent="0.25">
      <c r="A1" t="s">
        <v>199</v>
      </c>
    </row>
    <row r="2" spans="1:17" ht="18.75" x14ac:dyDescent="0.3">
      <c r="A2" s="26" t="s">
        <v>189</v>
      </c>
      <c r="B2" s="26"/>
      <c r="C2" s="26"/>
      <c r="D2" s="26"/>
      <c r="I2" s="26" t="s">
        <v>190</v>
      </c>
      <c r="J2" s="26"/>
      <c r="K2" s="26"/>
      <c r="L2" s="26"/>
      <c r="N2" s="27" t="s">
        <v>193</v>
      </c>
      <c r="O2" s="27"/>
      <c r="P2" s="27"/>
      <c r="Q2" s="27"/>
    </row>
    <row r="3" spans="1:17" x14ac:dyDescent="0.25">
      <c r="A3" s="18" t="s">
        <v>198</v>
      </c>
      <c r="B3" s="22" t="s">
        <v>185</v>
      </c>
      <c r="C3" t="s">
        <v>162</v>
      </c>
      <c r="D3" t="s">
        <v>187</v>
      </c>
      <c r="I3" s="18" t="s">
        <v>195</v>
      </c>
      <c r="J3" s="22" t="s">
        <v>185</v>
      </c>
      <c r="K3" t="s">
        <v>162</v>
      </c>
      <c r="L3" t="s">
        <v>187</v>
      </c>
      <c r="N3" s="18" t="s">
        <v>196</v>
      </c>
      <c r="O3" s="22" t="s">
        <v>191</v>
      </c>
      <c r="P3" t="s">
        <v>192</v>
      </c>
      <c r="Q3" t="s">
        <v>197</v>
      </c>
    </row>
    <row r="4" spans="1:17" x14ac:dyDescent="0.25">
      <c r="A4" s="19" t="s">
        <v>163</v>
      </c>
      <c r="B4" s="22">
        <v>31</v>
      </c>
      <c r="C4" s="21">
        <v>6629.3999999999978</v>
      </c>
      <c r="D4" s="21">
        <v>213.85161290322574</v>
      </c>
      <c r="I4" s="19" t="s">
        <v>175</v>
      </c>
      <c r="J4" s="22">
        <v>23</v>
      </c>
      <c r="K4" s="21">
        <v>3530.6</v>
      </c>
      <c r="L4" s="21">
        <v>153.50434782608696</v>
      </c>
      <c r="N4" s="19" t="s">
        <v>163</v>
      </c>
      <c r="O4" s="22">
        <v>25</v>
      </c>
      <c r="P4" s="21">
        <v>3327.3999999999996</v>
      </c>
      <c r="Q4">
        <v>133.09599999999998</v>
      </c>
    </row>
    <row r="5" spans="1:17" x14ac:dyDescent="0.25">
      <c r="A5" s="20" t="s">
        <v>26</v>
      </c>
      <c r="B5" s="22">
        <v>8</v>
      </c>
      <c r="C5" s="21">
        <v>1574.8000000000002</v>
      </c>
      <c r="D5" s="21">
        <v>196.85000000000002</v>
      </c>
      <c r="I5" s="20" t="s">
        <v>26</v>
      </c>
      <c r="J5" s="22">
        <v>6</v>
      </c>
      <c r="K5" s="21">
        <v>863.60000000000014</v>
      </c>
      <c r="L5" s="21">
        <v>143.93333333333337</v>
      </c>
      <c r="N5" s="19" t="s">
        <v>174</v>
      </c>
      <c r="O5" s="22">
        <v>8</v>
      </c>
      <c r="P5" s="21">
        <v>1016.0000000000001</v>
      </c>
      <c r="Q5">
        <v>127.00000000000001</v>
      </c>
    </row>
    <row r="6" spans="1:17" x14ac:dyDescent="0.25">
      <c r="A6" s="20" t="s">
        <v>27</v>
      </c>
      <c r="B6" s="22">
        <v>4</v>
      </c>
      <c r="C6" s="21">
        <v>914.40000000000009</v>
      </c>
      <c r="D6" s="21">
        <v>228.60000000000002</v>
      </c>
      <c r="I6" s="20" t="s">
        <v>24</v>
      </c>
      <c r="J6" s="22">
        <v>4</v>
      </c>
      <c r="K6" s="21">
        <v>838.2</v>
      </c>
      <c r="L6" s="21">
        <v>209.55</v>
      </c>
      <c r="N6" s="19" t="s">
        <v>172</v>
      </c>
      <c r="O6" s="22">
        <v>8</v>
      </c>
      <c r="P6" s="21">
        <v>1752.6000000000001</v>
      </c>
      <c r="Q6" s="21">
        <v>219.07500000000002</v>
      </c>
    </row>
    <row r="7" spans="1:17" x14ac:dyDescent="0.25">
      <c r="A7" s="20" t="s">
        <v>28</v>
      </c>
      <c r="B7" s="22">
        <v>4</v>
      </c>
      <c r="C7" s="21">
        <v>914.40000000000009</v>
      </c>
      <c r="D7" s="21">
        <v>228.60000000000002</v>
      </c>
      <c r="I7" s="20" t="s">
        <v>28</v>
      </c>
      <c r="J7" s="22">
        <v>3</v>
      </c>
      <c r="K7" s="21">
        <v>330.2</v>
      </c>
      <c r="L7" s="21">
        <v>110.06666666666666</v>
      </c>
      <c r="N7" s="19" t="s">
        <v>169</v>
      </c>
      <c r="O7" s="22">
        <v>8</v>
      </c>
      <c r="P7" s="21">
        <v>1016.0000000000002</v>
      </c>
      <c r="Q7">
        <v>127.00000000000003</v>
      </c>
    </row>
    <row r="8" spans="1:17" x14ac:dyDescent="0.25">
      <c r="A8" s="20" t="s">
        <v>24</v>
      </c>
      <c r="B8" s="22">
        <v>4</v>
      </c>
      <c r="C8" s="21">
        <v>1219.2</v>
      </c>
      <c r="D8" s="21">
        <v>304.8</v>
      </c>
      <c r="I8" s="20" t="s">
        <v>27</v>
      </c>
      <c r="J8" s="22">
        <v>3</v>
      </c>
      <c r="K8" s="21">
        <v>279.39999999999998</v>
      </c>
      <c r="L8" s="21">
        <v>93.133333333333326</v>
      </c>
      <c r="N8" s="19" t="s">
        <v>180</v>
      </c>
      <c r="O8" s="22">
        <v>6</v>
      </c>
      <c r="P8" s="21">
        <v>457.2</v>
      </c>
      <c r="Q8">
        <v>76.2</v>
      </c>
    </row>
    <row r="9" spans="1:17" x14ac:dyDescent="0.25">
      <c r="A9" s="20" t="s">
        <v>25</v>
      </c>
      <c r="B9" s="22">
        <v>4</v>
      </c>
      <c r="C9" s="21">
        <v>965.2</v>
      </c>
      <c r="D9" s="21">
        <v>241.3</v>
      </c>
      <c r="I9" s="20" t="s">
        <v>31</v>
      </c>
      <c r="J9" s="22">
        <v>2</v>
      </c>
      <c r="K9" s="21">
        <v>254</v>
      </c>
      <c r="L9" s="21">
        <v>127</v>
      </c>
      <c r="N9" s="19" t="s">
        <v>170</v>
      </c>
      <c r="O9" s="22">
        <v>5</v>
      </c>
      <c r="P9" s="21">
        <v>736.60000000000014</v>
      </c>
      <c r="Q9">
        <v>147.32000000000002</v>
      </c>
    </row>
    <row r="10" spans="1:17" x14ac:dyDescent="0.25">
      <c r="A10" s="20" t="s">
        <v>31</v>
      </c>
      <c r="B10" s="22">
        <v>2</v>
      </c>
      <c r="C10" s="21">
        <v>203.2</v>
      </c>
      <c r="D10" s="21">
        <v>101.6</v>
      </c>
      <c r="I10" s="20" t="s">
        <v>25</v>
      </c>
      <c r="J10" s="22">
        <v>2</v>
      </c>
      <c r="K10" s="21">
        <v>381</v>
      </c>
      <c r="L10" s="21">
        <v>190.5</v>
      </c>
      <c r="N10" s="19" t="s">
        <v>183</v>
      </c>
      <c r="O10" s="22">
        <v>60</v>
      </c>
      <c r="P10" s="21">
        <v>8305.7999999999956</v>
      </c>
      <c r="Q10">
        <v>138.42999999999992</v>
      </c>
    </row>
    <row r="11" spans="1:17" x14ac:dyDescent="0.25">
      <c r="A11" s="20" t="s">
        <v>40</v>
      </c>
      <c r="B11" s="22">
        <v>1</v>
      </c>
      <c r="C11" s="21">
        <v>127</v>
      </c>
      <c r="D11" s="21">
        <v>127</v>
      </c>
      <c r="I11" s="20" t="s">
        <v>44</v>
      </c>
      <c r="J11" s="22">
        <v>1</v>
      </c>
      <c r="K11" s="21">
        <v>381</v>
      </c>
      <c r="L11" s="21">
        <v>381</v>
      </c>
    </row>
    <row r="12" spans="1:17" x14ac:dyDescent="0.25">
      <c r="A12" s="20" t="s">
        <v>35</v>
      </c>
      <c r="B12" s="22">
        <v>1</v>
      </c>
      <c r="C12" s="21">
        <v>127</v>
      </c>
      <c r="D12" s="21">
        <v>127</v>
      </c>
      <c r="I12" s="20" t="s">
        <v>35</v>
      </c>
      <c r="J12" s="22">
        <v>1</v>
      </c>
      <c r="K12" s="21">
        <v>127</v>
      </c>
      <c r="L12" s="21">
        <v>127</v>
      </c>
    </row>
    <row r="13" spans="1:17" x14ac:dyDescent="0.25">
      <c r="A13" s="20" t="s">
        <v>44</v>
      </c>
      <c r="B13" s="22">
        <v>1</v>
      </c>
      <c r="C13" s="21">
        <v>381</v>
      </c>
      <c r="D13" s="21">
        <v>381</v>
      </c>
      <c r="I13" s="20" t="s">
        <v>45</v>
      </c>
      <c r="J13" s="22">
        <v>1</v>
      </c>
      <c r="K13" s="21">
        <v>76.2</v>
      </c>
      <c r="L13" s="21">
        <v>76.2</v>
      </c>
    </row>
    <row r="14" spans="1:17" x14ac:dyDescent="0.25">
      <c r="A14" s="20" t="s">
        <v>34</v>
      </c>
      <c r="B14" s="22">
        <v>1</v>
      </c>
      <c r="C14" s="21">
        <v>127</v>
      </c>
      <c r="D14" s="21">
        <v>127</v>
      </c>
      <c r="I14" s="19" t="s">
        <v>173</v>
      </c>
      <c r="J14" s="22">
        <v>14</v>
      </c>
      <c r="K14" s="21">
        <v>6857.9999999999991</v>
      </c>
      <c r="L14" s="21">
        <v>489.85714285714278</v>
      </c>
    </row>
    <row r="15" spans="1:17" x14ac:dyDescent="0.25">
      <c r="A15" s="20" t="s">
        <v>80</v>
      </c>
      <c r="B15" s="22">
        <v>1</v>
      </c>
      <c r="C15" s="21">
        <v>76.2</v>
      </c>
      <c r="D15" s="21">
        <v>76.2</v>
      </c>
      <c r="I15" s="20" t="s">
        <v>27</v>
      </c>
      <c r="J15" s="22">
        <v>4</v>
      </c>
      <c r="K15" s="21">
        <v>1168.4000000000001</v>
      </c>
      <c r="L15" s="21">
        <v>292.10000000000002</v>
      </c>
    </row>
    <row r="16" spans="1:17" x14ac:dyDescent="0.25">
      <c r="A16" s="19" t="s">
        <v>172</v>
      </c>
      <c r="B16" s="22">
        <v>15</v>
      </c>
      <c r="C16" s="21">
        <v>7340.5999999999995</v>
      </c>
      <c r="D16" s="21">
        <v>489.37333333333328</v>
      </c>
      <c r="I16" s="20" t="s">
        <v>31</v>
      </c>
      <c r="J16" s="22">
        <v>2</v>
      </c>
      <c r="K16" s="21">
        <v>203.2</v>
      </c>
      <c r="L16" s="21">
        <v>101.6</v>
      </c>
    </row>
    <row r="17" spans="1:17" x14ac:dyDescent="0.25">
      <c r="A17" s="20" t="s">
        <v>24</v>
      </c>
      <c r="B17" s="22">
        <v>2</v>
      </c>
      <c r="C17" s="21">
        <v>1143</v>
      </c>
      <c r="D17" s="21">
        <v>571.5</v>
      </c>
      <c r="I17" s="20" t="s">
        <v>45</v>
      </c>
      <c r="J17" s="22">
        <v>1</v>
      </c>
      <c r="K17" s="21">
        <v>889</v>
      </c>
      <c r="L17" s="21">
        <v>889</v>
      </c>
    </row>
    <row r="18" spans="1:17" ht="18.75" x14ac:dyDescent="0.3">
      <c r="A18" s="20" t="s">
        <v>28</v>
      </c>
      <c r="B18" s="22">
        <v>2</v>
      </c>
      <c r="C18" s="21">
        <v>203.2</v>
      </c>
      <c r="D18" s="21">
        <v>101.6</v>
      </c>
      <c r="I18" s="20" t="s">
        <v>43</v>
      </c>
      <c r="J18" s="22">
        <v>1</v>
      </c>
      <c r="K18" s="21">
        <v>889</v>
      </c>
      <c r="L18" s="21">
        <v>889</v>
      </c>
      <c r="N18" s="27" t="s">
        <v>194</v>
      </c>
      <c r="O18" s="27"/>
      <c r="P18" s="27"/>
      <c r="Q18" s="27"/>
    </row>
    <row r="19" spans="1:17" x14ac:dyDescent="0.25">
      <c r="A19" s="20" t="s">
        <v>27</v>
      </c>
      <c r="B19" s="22">
        <v>2</v>
      </c>
      <c r="C19" s="21">
        <v>1016</v>
      </c>
      <c r="D19" s="21">
        <v>508</v>
      </c>
      <c r="I19" s="20" t="s">
        <v>44</v>
      </c>
      <c r="J19" s="22">
        <v>1</v>
      </c>
      <c r="K19" s="21">
        <v>889</v>
      </c>
      <c r="L19" s="21">
        <v>889</v>
      </c>
      <c r="N19" s="18" t="s">
        <v>161</v>
      </c>
      <c r="O19" s="22" t="s">
        <v>191</v>
      </c>
      <c r="P19" t="s">
        <v>192</v>
      </c>
      <c r="Q19" t="s">
        <v>197</v>
      </c>
    </row>
    <row r="20" spans="1:17" x14ac:dyDescent="0.25">
      <c r="A20" s="20" t="s">
        <v>45</v>
      </c>
      <c r="B20" s="22">
        <v>1</v>
      </c>
      <c r="C20" s="21">
        <v>889</v>
      </c>
      <c r="D20" s="21">
        <v>889</v>
      </c>
      <c r="I20" s="20" t="s">
        <v>28</v>
      </c>
      <c r="J20" s="22">
        <v>1</v>
      </c>
      <c r="K20" s="21">
        <v>76.2</v>
      </c>
      <c r="L20" s="21">
        <v>76.2</v>
      </c>
      <c r="N20" s="19" t="s">
        <v>175</v>
      </c>
      <c r="O20" s="22">
        <v>20</v>
      </c>
      <c r="P20" s="21">
        <v>2514.5999999999995</v>
      </c>
      <c r="Q20" s="21">
        <v>125.72999999999998</v>
      </c>
    </row>
    <row r="21" spans="1:17" x14ac:dyDescent="0.25">
      <c r="A21" s="20" t="s">
        <v>43</v>
      </c>
      <c r="B21" s="22">
        <v>1</v>
      </c>
      <c r="C21" s="21">
        <v>889</v>
      </c>
      <c r="D21" s="21">
        <v>889</v>
      </c>
      <c r="I21" s="20" t="s">
        <v>24</v>
      </c>
      <c r="J21" s="22">
        <v>1</v>
      </c>
      <c r="K21" s="21">
        <v>889</v>
      </c>
      <c r="L21" s="21">
        <v>889</v>
      </c>
      <c r="N21" s="19" t="s">
        <v>173</v>
      </c>
      <c r="O21" s="22">
        <v>8</v>
      </c>
      <c r="P21" s="21">
        <v>1524.0000000000002</v>
      </c>
      <c r="Q21" s="21">
        <v>190.50000000000003</v>
      </c>
    </row>
    <row r="22" spans="1:17" x14ac:dyDescent="0.25">
      <c r="A22" s="20" t="s">
        <v>44</v>
      </c>
      <c r="B22" s="22">
        <v>1</v>
      </c>
      <c r="C22" s="21">
        <v>889</v>
      </c>
      <c r="D22" s="21">
        <v>889</v>
      </c>
      <c r="I22" s="20" t="s">
        <v>25</v>
      </c>
      <c r="J22" s="22">
        <v>1</v>
      </c>
      <c r="K22" s="21">
        <v>76.2</v>
      </c>
      <c r="L22" s="21">
        <v>76.2</v>
      </c>
      <c r="N22" s="19" t="s">
        <v>166</v>
      </c>
      <c r="O22" s="22">
        <v>7</v>
      </c>
      <c r="P22" s="21">
        <v>1320.8000000000002</v>
      </c>
      <c r="Q22" s="21">
        <v>188.68571428571431</v>
      </c>
    </row>
    <row r="23" spans="1:17" x14ac:dyDescent="0.25">
      <c r="A23" s="20" t="s">
        <v>40</v>
      </c>
      <c r="B23" s="22">
        <v>1</v>
      </c>
      <c r="C23" s="21">
        <v>76.2</v>
      </c>
      <c r="D23" s="21">
        <v>76.2</v>
      </c>
      <c r="I23" s="20" t="s">
        <v>35</v>
      </c>
      <c r="J23" s="22">
        <v>1</v>
      </c>
      <c r="K23" s="21">
        <v>889</v>
      </c>
      <c r="L23" s="21">
        <v>889</v>
      </c>
      <c r="N23" s="19" t="s">
        <v>181</v>
      </c>
      <c r="O23" s="22">
        <v>7</v>
      </c>
      <c r="P23" s="21">
        <v>635</v>
      </c>
      <c r="Q23" s="21">
        <v>90.714285714285708</v>
      </c>
    </row>
    <row r="24" spans="1:17" x14ac:dyDescent="0.25">
      <c r="A24" s="20" t="s">
        <v>25</v>
      </c>
      <c r="B24" s="22">
        <v>1</v>
      </c>
      <c r="C24" s="21">
        <v>254</v>
      </c>
      <c r="D24" s="21">
        <v>254</v>
      </c>
      <c r="I24" s="20" t="s">
        <v>39</v>
      </c>
      <c r="J24" s="22">
        <v>1</v>
      </c>
      <c r="K24" s="21">
        <v>889</v>
      </c>
      <c r="L24" s="21">
        <v>889</v>
      </c>
      <c r="N24" s="19" t="s">
        <v>176</v>
      </c>
      <c r="O24" s="22">
        <v>5</v>
      </c>
      <c r="P24" s="21">
        <v>381</v>
      </c>
      <c r="Q24" s="21">
        <v>76.2</v>
      </c>
    </row>
    <row r="25" spans="1:17" x14ac:dyDescent="0.25">
      <c r="A25" s="20" t="s">
        <v>31</v>
      </c>
      <c r="B25" s="22">
        <v>1</v>
      </c>
      <c r="C25" s="21">
        <v>127</v>
      </c>
      <c r="D25" s="21">
        <v>127</v>
      </c>
      <c r="I25" s="19" t="s">
        <v>166</v>
      </c>
      <c r="J25" s="22">
        <v>12</v>
      </c>
      <c r="K25" s="21">
        <v>4114.7999999999993</v>
      </c>
      <c r="L25" s="21">
        <v>342.89999999999992</v>
      </c>
      <c r="N25" s="19" t="s">
        <v>177</v>
      </c>
      <c r="O25" s="22">
        <v>5</v>
      </c>
      <c r="P25" s="21">
        <v>609.59999999999991</v>
      </c>
      <c r="Q25" s="21">
        <v>121.91999999999999</v>
      </c>
    </row>
    <row r="26" spans="1:17" x14ac:dyDescent="0.25">
      <c r="A26" s="20" t="s">
        <v>26</v>
      </c>
      <c r="B26" s="22">
        <v>1</v>
      </c>
      <c r="C26" s="21">
        <v>76.2</v>
      </c>
      <c r="D26" s="21">
        <v>76.2</v>
      </c>
      <c r="I26" s="20" t="s">
        <v>34</v>
      </c>
      <c r="J26" s="22">
        <v>3</v>
      </c>
      <c r="K26" s="21">
        <v>457.2</v>
      </c>
      <c r="L26" s="21">
        <v>152.4</v>
      </c>
      <c r="N26" s="19" t="s">
        <v>171</v>
      </c>
      <c r="O26" s="22">
        <v>3</v>
      </c>
      <c r="P26" s="21">
        <v>762</v>
      </c>
      <c r="Q26" s="21">
        <v>254</v>
      </c>
    </row>
    <row r="27" spans="1:17" x14ac:dyDescent="0.25">
      <c r="A27" s="20" t="s">
        <v>35</v>
      </c>
      <c r="B27" s="22">
        <v>1</v>
      </c>
      <c r="C27" s="21">
        <v>889</v>
      </c>
      <c r="D27" s="21">
        <v>889</v>
      </c>
      <c r="I27" s="20" t="s">
        <v>31</v>
      </c>
      <c r="J27" s="22">
        <v>2</v>
      </c>
      <c r="K27" s="21">
        <v>152.4</v>
      </c>
      <c r="L27" s="21">
        <v>76.2</v>
      </c>
      <c r="N27" s="19" t="s">
        <v>182</v>
      </c>
      <c r="O27" s="22">
        <v>2</v>
      </c>
      <c r="P27" s="21">
        <v>152.4</v>
      </c>
      <c r="Q27" s="21">
        <v>76.2</v>
      </c>
    </row>
    <row r="28" spans="1:17" x14ac:dyDescent="0.25">
      <c r="A28" s="20" t="s">
        <v>39</v>
      </c>
      <c r="B28" s="22">
        <v>1</v>
      </c>
      <c r="C28" s="21">
        <v>889</v>
      </c>
      <c r="D28" s="21">
        <v>889</v>
      </c>
      <c r="I28" s="20" t="s">
        <v>26</v>
      </c>
      <c r="J28" s="22">
        <v>2</v>
      </c>
      <c r="K28" s="21">
        <v>711.2</v>
      </c>
      <c r="L28" s="21">
        <v>355.6</v>
      </c>
      <c r="N28" s="19" t="s">
        <v>179</v>
      </c>
      <c r="O28" s="22">
        <v>2</v>
      </c>
      <c r="P28" s="21">
        <v>152.4</v>
      </c>
      <c r="Q28" s="21">
        <v>76.2</v>
      </c>
    </row>
    <row r="29" spans="1:17" x14ac:dyDescent="0.25">
      <c r="A29" s="19" t="s">
        <v>174</v>
      </c>
      <c r="B29" s="22">
        <v>10</v>
      </c>
      <c r="C29" s="21">
        <v>1524.0000000000002</v>
      </c>
      <c r="D29" s="21">
        <v>152.40000000000003</v>
      </c>
      <c r="I29" s="20" t="s">
        <v>27</v>
      </c>
      <c r="J29" s="22">
        <v>1</v>
      </c>
      <c r="K29" s="21">
        <v>635</v>
      </c>
      <c r="L29" s="21">
        <v>635</v>
      </c>
      <c r="N29" s="19" t="s">
        <v>178</v>
      </c>
      <c r="O29" s="22">
        <v>1</v>
      </c>
      <c r="P29" s="21">
        <v>254</v>
      </c>
      <c r="Q29" s="21">
        <v>254</v>
      </c>
    </row>
    <row r="30" spans="1:17" x14ac:dyDescent="0.25">
      <c r="A30" s="20" t="s">
        <v>31</v>
      </c>
      <c r="B30" s="22">
        <v>2</v>
      </c>
      <c r="C30" s="21">
        <v>203.2</v>
      </c>
      <c r="D30" s="21">
        <v>101.6</v>
      </c>
      <c r="I30" s="20" t="s">
        <v>35</v>
      </c>
      <c r="J30" s="22">
        <v>1</v>
      </c>
      <c r="K30" s="21">
        <v>254</v>
      </c>
      <c r="L30" s="21">
        <v>254</v>
      </c>
      <c r="N30" s="19" t="s">
        <v>183</v>
      </c>
      <c r="O30" s="22">
        <v>60</v>
      </c>
      <c r="P30" s="21">
        <v>8305.7999999999975</v>
      </c>
      <c r="Q30" s="21">
        <v>138.42999999999995</v>
      </c>
    </row>
    <row r="31" spans="1:17" x14ac:dyDescent="0.25">
      <c r="A31" s="20" t="s">
        <v>38</v>
      </c>
      <c r="B31" s="22">
        <v>2</v>
      </c>
      <c r="C31" s="21">
        <v>330.2</v>
      </c>
      <c r="D31" s="21">
        <v>165.1</v>
      </c>
      <c r="I31" s="20" t="s">
        <v>25</v>
      </c>
      <c r="J31" s="22">
        <v>1</v>
      </c>
      <c r="K31" s="21">
        <v>635</v>
      </c>
      <c r="L31" s="21">
        <v>635</v>
      </c>
    </row>
    <row r="32" spans="1:17" x14ac:dyDescent="0.25">
      <c r="A32" s="20" t="s">
        <v>44</v>
      </c>
      <c r="B32" s="22">
        <v>1</v>
      </c>
      <c r="C32" s="21">
        <v>254</v>
      </c>
      <c r="D32" s="21">
        <v>254</v>
      </c>
      <c r="I32" s="20" t="s">
        <v>24</v>
      </c>
      <c r="J32" s="22">
        <v>1</v>
      </c>
      <c r="K32" s="21">
        <v>635</v>
      </c>
      <c r="L32" s="21">
        <v>635</v>
      </c>
    </row>
    <row r="33" spans="1:12" x14ac:dyDescent="0.25">
      <c r="A33" s="20" t="s">
        <v>45</v>
      </c>
      <c r="B33" s="22">
        <v>1</v>
      </c>
      <c r="C33" s="21">
        <v>76.2</v>
      </c>
      <c r="D33" s="21">
        <v>76.2</v>
      </c>
      <c r="I33" s="20" t="s">
        <v>28</v>
      </c>
      <c r="J33" s="22">
        <v>1</v>
      </c>
      <c r="K33" s="21">
        <v>635</v>
      </c>
      <c r="L33" s="21">
        <v>635</v>
      </c>
    </row>
    <row r="34" spans="1:12" x14ac:dyDescent="0.25">
      <c r="A34" s="20" t="s">
        <v>28</v>
      </c>
      <c r="B34" s="22">
        <v>1</v>
      </c>
      <c r="C34" s="21">
        <v>76.2</v>
      </c>
      <c r="D34" s="21">
        <v>76.2</v>
      </c>
      <c r="I34" s="19" t="s">
        <v>171</v>
      </c>
      <c r="J34" s="22">
        <v>8</v>
      </c>
      <c r="K34" s="21">
        <v>2540</v>
      </c>
      <c r="L34" s="21">
        <v>317.5</v>
      </c>
    </row>
    <row r="35" spans="1:12" x14ac:dyDescent="0.25">
      <c r="A35" s="20" t="s">
        <v>27</v>
      </c>
      <c r="B35" s="22">
        <v>1</v>
      </c>
      <c r="C35" s="21">
        <v>76.2</v>
      </c>
      <c r="D35" s="21">
        <v>76.2</v>
      </c>
      <c r="I35" s="20" t="s">
        <v>24</v>
      </c>
      <c r="J35" s="22">
        <v>2</v>
      </c>
      <c r="K35" s="21">
        <v>635</v>
      </c>
      <c r="L35" s="21">
        <v>317.5</v>
      </c>
    </row>
    <row r="36" spans="1:12" x14ac:dyDescent="0.25">
      <c r="A36" s="20" t="s">
        <v>35</v>
      </c>
      <c r="B36" s="22">
        <v>1</v>
      </c>
      <c r="C36" s="21">
        <v>254</v>
      </c>
      <c r="D36" s="21">
        <v>254</v>
      </c>
      <c r="I36" s="20" t="s">
        <v>40</v>
      </c>
      <c r="J36" s="22">
        <v>2</v>
      </c>
      <c r="K36" s="21">
        <v>635</v>
      </c>
      <c r="L36" s="21">
        <v>317.5</v>
      </c>
    </row>
    <row r="37" spans="1:12" x14ac:dyDescent="0.25">
      <c r="A37" s="20" t="s">
        <v>39</v>
      </c>
      <c r="B37" s="22">
        <v>1</v>
      </c>
      <c r="C37" s="21">
        <v>254</v>
      </c>
      <c r="D37" s="21">
        <v>254</v>
      </c>
      <c r="I37" s="20" t="s">
        <v>38</v>
      </c>
      <c r="J37" s="22">
        <v>2</v>
      </c>
      <c r="K37" s="21">
        <v>508</v>
      </c>
      <c r="L37" s="21">
        <v>254</v>
      </c>
    </row>
    <row r="38" spans="1:12" x14ac:dyDescent="0.25">
      <c r="A38" s="19" t="s">
        <v>169</v>
      </c>
      <c r="B38" s="22">
        <v>10</v>
      </c>
      <c r="C38" s="21">
        <v>1524.0000000000002</v>
      </c>
      <c r="D38" s="21">
        <v>152.40000000000003</v>
      </c>
      <c r="I38" s="20" t="s">
        <v>27</v>
      </c>
      <c r="J38" s="22">
        <v>1</v>
      </c>
      <c r="K38" s="21">
        <v>381</v>
      </c>
      <c r="L38" s="21">
        <v>381</v>
      </c>
    </row>
    <row r="39" spans="1:12" x14ac:dyDescent="0.25">
      <c r="A39" s="20" t="s">
        <v>40</v>
      </c>
      <c r="B39" s="22">
        <v>1</v>
      </c>
      <c r="C39" s="21">
        <v>254</v>
      </c>
      <c r="D39" s="21">
        <v>254</v>
      </c>
      <c r="I39" s="20" t="s">
        <v>39</v>
      </c>
      <c r="J39" s="22">
        <v>1</v>
      </c>
      <c r="K39" s="21">
        <v>381</v>
      </c>
      <c r="L39" s="21">
        <v>381</v>
      </c>
    </row>
    <row r="40" spans="1:12" x14ac:dyDescent="0.25">
      <c r="A40" s="20" t="s">
        <v>34</v>
      </c>
      <c r="B40" s="22">
        <v>1</v>
      </c>
      <c r="C40" s="21">
        <v>254</v>
      </c>
      <c r="D40" s="21">
        <v>254</v>
      </c>
      <c r="I40" s="19" t="s">
        <v>181</v>
      </c>
      <c r="J40" s="22">
        <v>7</v>
      </c>
      <c r="K40" s="21">
        <v>635</v>
      </c>
      <c r="L40" s="21">
        <v>90.714285714285708</v>
      </c>
    </row>
    <row r="41" spans="1:12" x14ac:dyDescent="0.25">
      <c r="A41" s="20" t="s">
        <v>25</v>
      </c>
      <c r="B41" s="22">
        <v>1</v>
      </c>
      <c r="C41" s="21">
        <v>76.2</v>
      </c>
      <c r="D41" s="21">
        <v>76.2</v>
      </c>
      <c r="I41" s="20" t="s">
        <v>25</v>
      </c>
      <c r="J41" s="22">
        <v>3</v>
      </c>
      <c r="K41" s="21">
        <v>228.60000000000002</v>
      </c>
      <c r="L41" s="21">
        <v>76.2</v>
      </c>
    </row>
    <row r="42" spans="1:12" x14ac:dyDescent="0.25">
      <c r="A42" s="20" t="s">
        <v>24</v>
      </c>
      <c r="B42" s="22">
        <v>1</v>
      </c>
      <c r="C42" s="21">
        <v>254</v>
      </c>
      <c r="D42" s="21">
        <v>254</v>
      </c>
      <c r="I42" s="20" t="s">
        <v>26</v>
      </c>
      <c r="J42" s="22">
        <v>2</v>
      </c>
      <c r="K42" s="21">
        <v>152.4</v>
      </c>
      <c r="L42" s="21">
        <v>76.2</v>
      </c>
    </row>
    <row r="43" spans="1:12" x14ac:dyDescent="0.25">
      <c r="A43" s="20" t="s">
        <v>28</v>
      </c>
      <c r="B43" s="22">
        <v>1</v>
      </c>
      <c r="C43" s="21">
        <v>76.2</v>
      </c>
      <c r="D43" s="21">
        <v>76.2</v>
      </c>
      <c r="I43" s="20" t="s">
        <v>27</v>
      </c>
      <c r="J43" s="22">
        <v>1</v>
      </c>
      <c r="K43" s="21">
        <v>127</v>
      </c>
      <c r="L43" s="21">
        <v>127</v>
      </c>
    </row>
    <row r="44" spans="1:12" x14ac:dyDescent="0.25">
      <c r="A44" s="20" t="s">
        <v>27</v>
      </c>
      <c r="B44" s="22">
        <v>1</v>
      </c>
      <c r="C44" s="21">
        <v>127</v>
      </c>
      <c r="D44" s="21">
        <v>127</v>
      </c>
      <c r="I44" s="20" t="s">
        <v>40</v>
      </c>
      <c r="J44" s="22">
        <v>1</v>
      </c>
      <c r="K44" s="21">
        <v>127</v>
      </c>
      <c r="L44" s="21">
        <v>127</v>
      </c>
    </row>
    <row r="45" spans="1:12" x14ac:dyDescent="0.25">
      <c r="A45" s="20" t="s">
        <v>31</v>
      </c>
      <c r="B45" s="22">
        <v>1</v>
      </c>
      <c r="C45" s="21">
        <v>76.2</v>
      </c>
      <c r="D45" s="21">
        <v>76.2</v>
      </c>
      <c r="I45" s="19" t="s">
        <v>177</v>
      </c>
      <c r="J45" s="22">
        <v>6</v>
      </c>
      <c r="K45" s="21">
        <v>863.60000000000014</v>
      </c>
      <c r="L45" s="21">
        <v>143.93333333333337</v>
      </c>
    </row>
    <row r="46" spans="1:12" x14ac:dyDescent="0.25">
      <c r="A46" s="20" t="s">
        <v>26</v>
      </c>
      <c r="B46" s="22">
        <v>1</v>
      </c>
      <c r="C46" s="21">
        <v>76.2</v>
      </c>
      <c r="D46" s="21">
        <v>76.2</v>
      </c>
      <c r="I46" s="20" t="s">
        <v>28</v>
      </c>
      <c r="J46" s="22">
        <v>2</v>
      </c>
      <c r="K46" s="21">
        <v>152.4</v>
      </c>
      <c r="L46" s="21">
        <v>76.2</v>
      </c>
    </row>
    <row r="47" spans="1:12" x14ac:dyDescent="0.25">
      <c r="A47" s="20" t="s">
        <v>35</v>
      </c>
      <c r="B47" s="22">
        <v>1</v>
      </c>
      <c r="C47" s="21">
        <v>254</v>
      </c>
      <c r="D47" s="21">
        <v>254</v>
      </c>
      <c r="I47" s="20" t="s">
        <v>25</v>
      </c>
      <c r="J47" s="22">
        <v>1</v>
      </c>
      <c r="K47" s="21">
        <v>127</v>
      </c>
      <c r="L47" s="21">
        <v>127</v>
      </c>
    </row>
    <row r="48" spans="1:12" x14ac:dyDescent="0.25">
      <c r="A48" s="20" t="s">
        <v>38</v>
      </c>
      <c r="B48" s="22">
        <v>1</v>
      </c>
      <c r="C48" s="21">
        <v>76.2</v>
      </c>
      <c r="D48" s="21">
        <v>76.2</v>
      </c>
      <c r="I48" s="20" t="s">
        <v>31</v>
      </c>
      <c r="J48" s="22">
        <v>1</v>
      </c>
      <c r="K48" s="21">
        <v>76.2</v>
      </c>
      <c r="L48" s="21">
        <v>76.2</v>
      </c>
    </row>
    <row r="49" spans="1:12" x14ac:dyDescent="0.25">
      <c r="A49" s="19" t="s">
        <v>170</v>
      </c>
      <c r="B49" s="22">
        <v>9</v>
      </c>
      <c r="C49" s="21">
        <v>2260.5999999999995</v>
      </c>
      <c r="D49" s="21">
        <v>251.17777777777772</v>
      </c>
      <c r="I49" s="20" t="s">
        <v>38</v>
      </c>
      <c r="J49" s="22">
        <v>1</v>
      </c>
      <c r="K49" s="21">
        <v>254</v>
      </c>
      <c r="L49" s="21">
        <v>254</v>
      </c>
    </row>
    <row r="50" spans="1:12" x14ac:dyDescent="0.25">
      <c r="A50" s="20" t="s">
        <v>27</v>
      </c>
      <c r="B50" s="22">
        <v>2</v>
      </c>
      <c r="C50" s="21">
        <v>457.2</v>
      </c>
      <c r="D50" s="21">
        <v>228.6</v>
      </c>
      <c r="I50" s="20" t="s">
        <v>35</v>
      </c>
      <c r="J50" s="22">
        <v>1</v>
      </c>
      <c r="K50" s="21">
        <v>254</v>
      </c>
      <c r="L50" s="21">
        <v>254</v>
      </c>
    </row>
    <row r="51" spans="1:12" x14ac:dyDescent="0.25">
      <c r="A51" s="20" t="s">
        <v>38</v>
      </c>
      <c r="B51" s="22">
        <v>2</v>
      </c>
      <c r="C51" s="21">
        <v>508</v>
      </c>
      <c r="D51" s="21">
        <v>254</v>
      </c>
      <c r="I51" s="19" t="s">
        <v>176</v>
      </c>
      <c r="J51" s="22">
        <v>5</v>
      </c>
      <c r="K51" s="21">
        <v>381</v>
      </c>
      <c r="L51" s="21">
        <v>76.2</v>
      </c>
    </row>
    <row r="52" spans="1:12" x14ac:dyDescent="0.25">
      <c r="A52" s="20" t="s">
        <v>31</v>
      </c>
      <c r="B52" s="22">
        <v>1</v>
      </c>
      <c r="C52" s="21">
        <v>76.2</v>
      </c>
      <c r="D52" s="21">
        <v>76.2</v>
      </c>
      <c r="I52" s="20" t="s">
        <v>26</v>
      </c>
      <c r="J52" s="22">
        <v>2</v>
      </c>
      <c r="K52" s="21">
        <v>152.4</v>
      </c>
      <c r="L52" s="21">
        <v>76.2</v>
      </c>
    </row>
    <row r="53" spans="1:12" x14ac:dyDescent="0.25">
      <c r="A53" s="20" t="s">
        <v>40</v>
      </c>
      <c r="B53" s="22">
        <v>1</v>
      </c>
      <c r="C53" s="21">
        <v>381</v>
      </c>
      <c r="D53" s="21">
        <v>381</v>
      </c>
      <c r="I53" s="20" t="s">
        <v>40</v>
      </c>
      <c r="J53" s="22">
        <v>1</v>
      </c>
      <c r="K53" s="21">
        <v>76.2</v>
      </c>
      <c r="L53" s="21">
        <v>76.2</v>
      </c>
    </row>
    <row r="54" spans="1:12" x14ac:dyDescent="0.25">
      <c r="A54" s="20" t="s">
        <v>25</v>
      </c>
      <c r="B54" s="22">
        <v>1</v>
      </c>
      <c r="C54" s="21">
        <v>76.2</v>
      </c>
      <c r="D54" s="21">
        <v>76.2</v>
      </c>
      <c r="I54" s="20" t="s">
        <v>25</v>
      </c>
      <c r="J54" s="22">
        <v>1</v>
      </c>
      <c r="K54" s="21">
        <v>76.2</v>
      </c>
      <c r="L54" s="21">
        <v>76.2</v>
      </c>
    </row>
    <row r="55" spans="1:12" x14ac:dyDescent="0.25">
      <c r="A55" s="20" t="s">
        <v>24</v>
      </c>
      <c r="B55" s="22">
        <v>1</v>
      </c>
      <c r="C55" s="21">
        <v>381</v>
      </c>
      <c r="D55" s="21">
        <v>381</v>
      </c>
      <c r="I55" s="20" t="s">
        <v>28</v>
      </c>
      <c r="J55" s="22">
        <v>1</v>
      </c>
      <c r="K55" s="21">
        <v>76.2</v>
      </c>
      <c r="L55" s="21">
        <v>76.2</v>
      </c>
    </row>
    <row r="56" spans="1:12" x14ac:dyDescent="0.25">
      <c r="A56" s="20" t="s">
        <v>39</v>
      </c>
      <c r="B56" s="22">
        <v>1</v>
      </c>
      <c r="C56" s="21">
        <v>381</v>
      </c>
      <c r="D56" s="21">
        <v>381</v>
      </c>
      <c r="I56" s="19" t="s">
        <v>178</v>
      </c>
      <c r="J56" s="22">
        <v>2</v>
      </c>
      <c r="K56" s="21">
        <v>508</v>
      </c>
      <c r="L56" s="21">
        <v>254</v>
      </c>
    </row>
    <row r="57" spans="1:12" x14ac:dyDescent="0.25">
      <c r="A57" s="19" t="s">
        <v>180</v>
      </c>
      <c r="B57" s="22">
        <v>6</v>
      </c>
      <c r="C57" s="21">
        <v>457.2</v>
      </c>
      <c r="D57" s="21">
        <v>76.2</v>
      </c>
      <c r="I57" s="20" t="s">
        <v>44</v>
      </c>
      <c r="J57" s="22">
        <v>1</v>
      </c>
      <c r="K57" s="21">
        <v>254</v>
      </c>
      <c r="L57" s="21">
        <v>254</v>
      </c>
    </row>
    <row r="58" spans="1:12" x14ac:dyDescent="0.25">
      <c r="A58" s="20" t="s">
        <v>25</v>
      </c>
      <c r="B58" s="22">
        <v>2</v>
      </c>
      <c r="C58" s="21">
        <v>152.4</v>
      </c>
      <c r="D58" s="21">
        <v>76.2</v>
      </c>
      <c r="I58" s="20" t="s">
        <v>39</v>
      </c>
      <c r="J58" s="22">
        <v>1</v>
      </c>
      <c r="K58" s="21">
        <v>254</v>
      </c>
      <c r="L58" s="21">
        <v>254</v>
      </c>
    </row>
    <row r="59" spans="1:12" x14ac:dyDescent="0.25">
      <c r="A59" s="20" t="s">
        <v>26</v>
      </c>
      <c r="B59" s="22">
        <v>2</v>
      </c>
      <c r="C59" s="21">
        <v>152.4</v>
      </c>
      <c r="D59" s="21">
        <v>76.2</v>
      </c>
      <c r="I59" s="19" t="s">
        <v>179</v>
      </c>
      <c r="J59" s="22">
        <v>2</v>
      </c>
      <c r="K59" s="21">
        <v>152.4</v>
      </c>
      <c r="L59" s="21">
        <v>76.2</v>
      </c>
    </row>
    <row r="60" spans="1:12" x14ac:dyDescent="0.25">
      <c r="A60" s="20" t="s">
        <v>31</v>
      </c>
      <c r="B60" s="22">
        <v>1</v>
      </c>
      <c r="C60" s="21">
        <v>76.2</v>
      </c>
      <c r="D60" s="21">
        <v>76.2</v>
      </c>
      <c r="I60" s="20" t="s">
        <v>80</v>
      </c>
      <c r="J60" s="22">
        <v>1</v>
      </c>
      <c r="K60" s="21">
        <v>76.2</v>
      </c>
      <c r="L60" s="21">
        <v>76.2</v>
      </c>
    </row>
    <row r="61" spans="1:12" x14ac:dyDescent="0.25">
      <c r="A61" s="20" t="s">
        <v>34</v>
      </c>
      <c r="B61" s="22">
        <v>1</v>
      </c>
      <c r="C61" s="21">
        <v>76.2</v>
      </c>
      <c r="D61" s="21">
        <v>76.2</v>
      </c>
      <c r="I61" s="20" t="s">
        <v>38</v>
      </c>
      <c r="J61" s="22">
        <v>1</v>
      </c>
      <c r="K61" s="21">
        <v>76.2</v>
      </c>
      <c r="L61" s="21">
        <v>76.2</v>
      </c>
    </row>
    <row r="62" spans="1:12" x14ac:dyDescent="0.25">
      <c r="A62" s="19" t="s">
        <v>183</v>
      </c>
      <c r="B62" s="22">
        <v>81</v>
      </c>
      <c r="C62" s="21">
        <v>19735.800000000007</v>
      </c>
      <c r="D62" s="21">
        <v>243.65185185185194</v>
      </c>
      <c r="I62" s="19" t="s">
        <v>182</v>
      </c>
      <c r="J62" s="22">
        <v>2</v>
      </c>
      <c r="K62" s="21">
        <v>152.4</v>
      </c>
      <c r="L62" s="21">
        <v>76.2</v>
      </c>
    </row>
    <row r="63" spans="1:12" x14ac:dyDescent="0.25">
      <c r="I63" s="20" t="s">
        <v>31</v>
      </c>
      <c r="J63" s="22">
        <v>1</v>
      </c>
      <c r="K63" s="21">
        <v>76.2</v>
      </c>
      <c r="L63" s="21">
        <v>76.2</v>
      </c>
    </row>
    <row r="64" spans="1:12" x14ac:dyDescent="0.25">
      <c r="I64" s="20" t="s">
        <v>38</v>
      </c>
      <c r="J64" s="22">
        <v>1</v>
      </c>
      <c r="K64" s="21">
        <v>76.2</v>
      </c>
      <c r="L64" s="21">
        <v>76.2</v>
      </c>
    </row>
    <row r="65" spans="9:12" x14ac:dyDescent="0.25">
      <c r="I65" s="19" t="s">
        <v>183</v>
      </c>
      <c r="J65" s="22">
        <v>81</v>
      </c>
      <c r="K65" s="21">
        <v>19735.800000000014</v>
      </c>
      <c r="L65" s="21">
        <v>243.65185185185203</v>
      </c>
    </row>
  </sheetData>
  <mergeCells count="4">
    <mergeCell ref="A2:D2"/>
    <mergeCell ref="I2:L2"/>
    <mergeCell ref="N2:Q2"/>
    <mergeCell ref="N18:Q18"/>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0316-CD92-4472-997C-1ABA398DF47B}">
  <sheetPr>
    <tabColor theme="3" tint="0.749992370372631"/>
  </sheetPr>
  <dimension ref="A1:I82"/>
  <sheetViews>
    <sheetView zoomScaleNormal="100" workbookViewId="0">
      <selection activeCell="G1" sqref="G1"/>
    </sheetView>
  </sheetViews>
  <sheetFormatPr defaultRowHeight="15.75" x14ac:dyDescent="0.25"/>
  <cols>
    <col min="1" max="1" width="7.7109375" style="4" bestFit="1" customWidth="1"/>
    <col min="2" max="2" width="9.42578125" style="2" customWidth="1"/>
    <col min="3" max="3" width="14.7109375" style="2" bestFit="1" customWidth="1"/>
    <col min="4" max="4" width="38.7109375" style="2" bestFit="1" customWidth="1"/>
    <col min="5" max="5" width="19.5703125" bestFit="1" customWidth="1"/>
    <col min="6" max="6" width="10.5703125" bestFit="1" customWidth="1"/>
    <col min="7" max="8" width="10.5703125" customWidth="1"/>
    <col min="9" max="9" width="32.85546875" bestFit="1" customWidth="1"/>
    <col min="10" max="10" width="42.7109375" bestFit="1" customWidth="1"/>
    <col min="11" max="11" width="17.42578125" bestFit="1" customWidth="1"/>
    <col min="12" max="12" width="11.140625" bestFit="1" customWidth="1"/>
    <col min="13" max="13" width="13.85546875" bestFit="1" customWidth="1"/>
  </cols>
  <sheetData>
    <row r="1" spans="1:9" x14ac:dyDescent="0.25">
      <c r="A1" s="16" t="s">
        <v>18</v>
      </c>
      <c r="B1" s="17" t="s">
        <v>19</v>
      </c>
      <c r="C1" s="17" t="s">
        <v>20</v>
      </c>
      <c r="D1" s="17" t="s">
        <v>21</v>
      </c>
      <c r="E1" s="23" t="s">
        <v>184</v>
      </c>
      <c r="F1" s="23" t="s">
        <v>186</v>
      </c>
      <c r="G1" s="23" t="s">
        <v>188</v>
      </c>
      <c r="H1" s="23" t="s">
        <v>158</v>
      </c>
      <c r="I1" s="23" t="s">
        <v>161</v>
      </c>
    </row>
    <row r="2" spans="1:9" x14ac:dyDescent="0.25">
      <c r="A2" s="2">
        <v>123123</v>
      </c>
      <c r="B2" s="2" t="s">
        <v>22</v>
      </c>
      <c r="C2" s="2" t="s">
        <v>23</v>
      </c>
      <c r="D2" s="2" t="s">
        <v>24</v>
      </c>
      <c r="E2" s="2" t="str">
        <f>_xlfn.XLOOKUP(Table2[[#This Row],[ID]],Table1[ID],Table1[Канал продажу],"",0,1)</f>
        <v>Дилерська мережа</v>
      </c>
      <c r="F2" s="2">
        <f>_xlfn.XLOOKUP(Table2[[#This Row],[ID]],Table1[ID],Table1[Сума, євро],"",0,1)</f>
        <v>635</v>
      </c>
      <c r="G2" s="2" t="str">
        <f>_xlfn.XLOOKUP(Table2[[#This Row],[ID]],Table1[ID],Table1[Рік_місяць],"",0,1)</f>
        <v>2025.05</v>
      </c>
      <c r="H2" s="2" t="str">
        <f>_xlfn.XLOOKUP(Table2[[#This Row],[ID]],Table1[ID],Table1[Прайс],"",0,1)</f>
        <v>LIGA360</v>
      </c>
      <c r="I2" s="2" t="str">
        <f>_xlfn.XLOOKUP(Table2[[#This Row],[ID]],Table1[ID],Table1[Сегмент],"",0,1)</f>
        <v>ГОС ВЛАСТЬ</v>
      </c>
    </row>
    <row r="3" spans="1:9" x14ac:dyDescent="0.25">
      <c r="A3" s="2">
        <v>123123</v>
      </c>
      <c r="B3" s="2" t="s">
        <v>22</v>
      </c>
      <c r="C3" s="2" t="s">
        <v>23</v>
      </c>
      <c r="D3" s="2" t="s">
        <v>25</v>
      </c>
      <c r="E3" s="2" t="str">
        <f>_xlfn.XLOOKUP(Table2[[#This Row],[ID]],Table1[ID],Table1[Канал продажу],"",0,1)</f>
        <v>Дилерська мережа</v>
      </c>
      <c r="F3" s="2">
        <f>_xlfn.XLOOKUP(Table2[[#This Row],[ID]],Table1[ID],Table1[Сума, євро],"",0,1)</f>
        <v>635</v>
      </c>
      <c r="G3" s="2" t="str">
        <f>_xlfn.XLOOKUP(Table2[[#This Row],[ID]],Table1[ID],Table1[Рік_місяць],"",0,1)</f>
        <v>2025.05</v>
      </c>
      <c r="H3" s="2" t="str">
        <f>_xlfn.XLOOKUP(Table2[[#This Row],[ID]],Table1[ID],Table1[Прайс],"",0,1)</f>
        <v>LIGA360</v>
      </c>
      <c r="I3" s="2" t="str">
        <f>_xlfn.XLOOKUP(Table2[[#This Row],[ID]],Table1[ID],Table1[Сегмент],"",0,1)</f>
        <v>ГОС ВЛАСТЬ</v>
      </c>
    </row>
    <row r="4" spans="1:9" x14ac:dyDescent="0.25">
      <c r="A4" s="2">
        <v>123123</v>
      </c>
      <c r="B4" s="2" t="s">
        <v>22</v>
      </c>
      <c r="C4" s="2" t="s">
        <v>23</v>
      </c>
      <c r="D4" s="2" t="s">
        <v>26</v>
      </c>
      <c r="E4" s="2" t="str">
        <f>_xlfn.XLOOKUP(Table2[[#This Row],[ID]],Table1[ID],Table1[Канал продажу],"",0,1)</f>
        <v>Дилерська мережа</v>
      </c>
      <c r="F4" s="2">
        <f>_xlfn.XLOOKUP(Table2[[#This Row],[ID]],Table1[ID],Table1[Сума, євро],"",0,1)</f>
        <v>635</v>
      </c>
      <c r="G4" s="2" t="str">
        <f>_xlfn.XLOOKUP(Table2[[#This Row],[ID]],Table1[ID],Table1[Рік_місяць],"",0,1)</f>
        <v>2025.05</v>
      </c>
      <c r="H4" s="2" t="str">
        <f>_xlfn.XLOOKUP(Table2[[#This Row],[ID]],Table1[ID],Table1[Прайс],"",0,1)</f>
        <v>LIGA360</v>
      </c>
      <c r="I4" s="2" t="str">
        <f>_xlfn.XLOOKUP(Table2[[#This Row],[ID]],Table1[ID],Table1[Сегмент],"",0,1)</f>
        <v>ГОС ВЛАСТЬ</v>
      </c>
    </row>
    <row r="5" spans="1:9" x14ac:dyDescent="0.25">
      <c r="A5" s="2">
        <v>123123</v>
      </c>
      <c r="B5" s="2" t="s">
        <v>22</v>
      </c>
      <c r="C5" s="2" t="s">
        <v>23</v>
      </c>
      <c r="D5" s="2" t="s">
        <v>27</v>
      </c>
      <c r="E5" s="2" t="str">
        <f>_xlfn.XLOOKUP(Table2[[#This Row],[ID]],Table1[ID],Table1[Канал продажу],"",0,1)</f>
        <v>Дилерська мережа</v>
      </c>
      <c r="F5" s="2">
        <f>_xlfn.XLOOKUP(Table2[[#This Row],[ID]],Table1[ID],Table1[Сума, євро],"",0,1)</f>
        <v>635</v>
      </c>
      <c r="G5" s="2" t="str">
        <f>_xlfn.XLOOKUP(Table2[[#This Row],[ID]],Table1[ID],Table1[Рік_місяць],"",0,1)</f>
        <v>2025.05</v>
      </c>
      <c r="H5" s="2" t="str">
        <f>_xlfn.XLOOKUP(Table2[[#This Row],[ID]],Table1[ID],Table1[Прайс],"",0,1)</f>
        <v>LIGA360</v>
      </c>
      <c r="I5" s="2" t="str">
        <f>_xlfn.XLOOKUP(Table2[[#This Row],[ID]],Table1[ID],Table1[Сегмент],"",0,1)</f>
        <v>ГОС ВЛАСТЬ</v>
      </c>
    </row>
    <row r="6" spans="1:9" x14ac:dyDescent="0.25">
      <c r="A6" s="2">
        <v>123123</v>
      </c>
      <c r="B6" s="2" t="s">
        <v>22</v>
      </c>
      <c r="C6" s="2" t="s">
        <v>23</v>
      </c>
      <c r="D6" s="2" t="s">
        <v>28</v>
      </c>
      <c r="E6" s="2" t="str">
        <f>_xlfn.XLOOKUP(Table2[[#This Row],[ID]],Table1[ID],Table1[Канал продажу],"",0,1)</f>
        <v>Дилерська мережа</v>
      </c>
      <c r="F6" s="2">
        <f>_xlfn.XLOOKUP(Table2[[#This Row],[ID]],Table1[ID],Table1[Сума, євро],"",0,1)</f>
        <v>635</v>
      </c>
      <c r="G6" s="2" t="str">
        <f>_xlfn.XLOOKUP(Table2[[#This Row],[ID]],Table1[ID],Table1[Рік_місяць],"",0,1)</f>
        <v>2025.05</v>
      </c>
      <c r="H6" s="2" t="str">
        <f>_xlfn.XLOOKUP(Table2[[#This Row],[ID]],Table1[ID],Table1[Прайс],"",0,1)</f>
        <v>LIGA360</v>
      </c>
      <c r="I6" s="2" t="str">
        <f>_xlfn.XLOOKUP(Table2[[#This Row],[ID]],Table1[ID],Table1[Сегмент],"",0,1)</f>
        <v>ГОС ВЛАСТЬ</v>
      </c>
    </row>
    <row r="7" spans="1:9" x14ac:dyDescent="0.25">
      <c r="A7" s="2">
        <v>234567</v>
      </c>
      <c r="B7" s="2" t="s">
        <v>29</v>
      </c>
      <c r="C7" s="2" t="s">
        <v>30</v>
      </c>
      <c r="D7" s="2" t="s">
        <v>31</v>
      </c>
      <c r="E7" s="2" t="str">
        <f>_xlfn.XLOOKUP(Table2[[#This Row],[ID]],Table1[ID],Table1[Канал продажу],"",0,1)</f>
        <v>Дилерська мережа</v>
      </c>
      <c r="F7" s="2">
        <f>_xlfn.XLOOKUP(Table2[[#This Row],[ID]],Table1[ID],Table1[Сума, євро],"",0,1)</f>
        <v>76.2</v>
      </c>
      <c r="G7" s="2" t="str">
        <f>_xlfn.XLOOKUP(Table2[[#This Row],[ID]],Table1[ID],Table1[Рік_місяць],"",0,1)</f>
        <v>2025.06</v>
      </c>
      <c r="H7" s="2" t="str">
        <f>_xlfn.XLOOKUP(Table2[[#This Row],[ID]],Table1[ID],Table1[Прайс],"",0,1)</f>
        <v>ClientDay</v>
      </c>
      <c r="I7" s="2" t="str">
        <f>_xlfn.XLOOKUP(Table2[[#This Row],[ID]],Table1[ID],Table1[Сегмент],"",0,1)</f>
        <v>ГОС ВЛАСТЬ</v>
      </c>
    </row>
    <row r="8" spans="1:9" x14ac:dyDescent="0.25">
      <c r="A8" s="2">
        <v>234568</v>
      </c>
      <c r="B8" s="2" t="s">
        <v>32</v>
      </c>
      <c r="C8" s="2" t="s">
        <v>33</v>
      </c>
      <c r="D8" s="2" t="s">
        <v>34</v>
      </c>
      <c r="E8" s="2" t="str">
        <f>_xlfn.XLOOKUP(Table2[[#This Row],[ID]],Table1[ID],Table1[Канал продажу],"",0,1)</f>
        <v>Держ регіональні</v>
      </c>
      <c r="F8" s="2">
        <f>_xlfn.XLOOKUP(Table2[[#This Row],[ID]],Table1[ID],Table1[Сума, євро],"",0,1)</f>
        <v>254</v>
      </c>
      <c r="G8" s="2" t="str">
        <f>_xlfn.XLOOKUP(Table2[[#This Row],[ID]],Table1[ID],Table1[Рік_місяць],"",0,1)</f>
        <v>2025.05</v>
      </c>
      <c r="H8" s="2" t="str">
        <f>_xlfn.XLOOKUP(Table2[[#This Row],[ID]],Table1[ID],Table1[Прайс],"",0,1)</f>
        <v>LIGA360</v>
      </c>
      <c r="I8" s="2" t="str">
        <f>_xlfn.XLOOKUP(Table2[[#This Row],[ID]],Table1[ID],Table1[Сегмент],"",0,1)</f>
        <v>ГОС ВЛАСТЬ</v>
      </c>
    </row>
    <row r="9" spans="1:9" x14ac:dyDescent="0.25">
      <c r="A9" s="2">
        <v>234568</v>
      </c>
      <c r="B9" s="2" t="s">
        <v>32</v>
      </c>
      <c r="C9" s="2" t="s">
        <v>33</v>
      </c>
      <c r="D9" s="2" t="s">
        <v>35</v>
      </c>
      <c r="E9" s="2" t="str">
        <f>_xlfn.XLOOKUP(Table2[[#This Row],[ID]],Table1[ID],Table1[Канал продажу],"",0,1)</f>
        <v>Держ регіональні</v>
      </c>
      <c r="F9" s="2">
        <f>_xlfn.XLOOKUP(Table2[[#This Row],[ID]],Table1[ID],Table1[Сума, євро],"",0,1)</f>
        <v>254</v>
      </c>
      <c r="G9" s="2" t="str">
        <f>_xlfn.XLOOKUP(Table2[[#This Row],[ID]],Table1[ID],Table1[Рік_місяць],"",0,1)</f>
        <v>2025.05</v>
      </c>
      <c r="H9" s="2" t="str">
        <f>_xlfn.XLOOKUP(Table2[[#This Row],[ID]],Table1[ID],Table1[Прайс],"",0,1)</f>
        <v>LIGA360</v>
      </c>
      <c r="I9" s="2" t="str">
        <f>_xlfn.XLOOKUP(Table2[[#This Row],[ID]],Table1[ID],Table1[Сегмент],"",0,1)</f>
        <v>ГОС ВЛАСТЬ</v>
      </c>
    </row>
    <row r="10" spans="1:9" x14ac:dyDescent="0.25">
      <c r="A10" s="2">
        <v>234569</v>
      </c>
      <c r="B10" s="2" t="s">
        <v>36</v>
      </c>
      <c r="C10" s="2" t="s">
        <v>37</v>
      </c>
      <c r="D10" s="2" t="s">
        <v>38</v>
      </c>
      <c r="E10" s="2" t="str">
        <f>_xlfn.XLOOKUP(Table2[[#This Row],[ID]],Table1[ID],Table1[Канал продажу],"",0,1)</f>
        <v>Корп клієнти</v>
      </c>
      <c r="F10" s="2">
        <f>_xlfn.XLOOKUP(Table2[[#This Row],[ID]],Table1[ID],Table1[Сума, євро],"",0,1)</f>
        <v>381</v>
      </c>
      <c r="G10" s="2" t="str">
        <f>_xlfn.XLOOKUP(Table2[[#This Row],[ID]],Table1[ID],Table1[Рік_місяць],"",0,1)</f>
        <v>2025.06</v>
      </c>
      <c r="H10" s="2" t="str">
        <f>_xlfn.XLOOKUP(Table2[[#This Row],[ID]],Table1[ID],Table1[Прайс],"",0,1)</f>
        <v>ClientDay</v>
      </c>
      <c r="I10" s="2" t="str">
        <f>_xlfn.XLOOKUP(Table2[[#This Row],[ID]],Table1[ID],Table1[Сегмент],"",0,1)</f>
        <v>КРУПНЫЙ БИЗНЕС</v>
      </c>
    </row>
    <row r="11" spans="1:9" x14ac:dyDescent="0.25">
      <c r="A11" s="2">
        <v>234569</v>
      </c>
      <c r="B11" s="2" t="s">
        <v>36</v>
      </c>
      <c r="C11" s="2" t="s">
        <v>37</v>
      </c>
      <c r="D11" s="2" t="s">
        <v>39</v>
      </c>
      <c r="E11" s="2" t="str">
        <f>_xlfn.XLOOKUP(Table2[[#This Row],[ID]],Table1[ID],Table1[Канал продажу],"",0,1)</f>
        <v>Корп клієнти</v>
      </c>
      <c r="F11" s="2">
        <f>_xlfn.XLOOKUP(Table2[[#This Row],[ID]],Table1[ID],Table1[Сума, євро],"",0,1)</f>
        <v>381</v>
      </c>
      <c r="G11" s="2" t="str">
        <f>_xlfn.XLOOKUP(Table2[[#This Row],[ID]],Table1[ID],Table1[Рік_місяць],"",0,1)</f>
        <v>2025.06</v>
      </c>
      <c r="H11" s="2" t="str">
        <f>_xlfn.XLOOKUP(Table2[[#This Row],[ID]],Table1[ID],Table1[Прайс],"",0,1)</f>
        <v>ClientDay</v>
      </c>
      <c r="I11" s="2" t="str">
        <f>_xlfn.XLOOKUP(Table2[[#This Row],[ID]],Table1[ID],Table1[Сегмент],"",0,1)</f>
        <v>КРУПНЫЙ БИЗНЕС</v>
      </c>
    </row>
    <row r="12" spans="1:9" x14ac:dyDescent="0.25">
      <c r="A12" s="2">
        <v>234569</v>
      </c>
      <c r="B12" s="2" t="s">
        <v>36</v>
      </c>
      <c r="C12" s="2" t="s">
        <v>37</v>
      </c>
      <c r="D12" s="2" t="s">
        <v>40</v>
      </c>
      <c r="E12" s="2" t="str">
        <f>_xlfn.XLOOKUP(Table2[[#This Row],[ID]],Table1[ID],Table1[Канал продажу],"",0,1)</f>
        <v>Корп клієнти</v>
      </c>
      <c r="F12" s="2">
        <f>_xlfn.XLOOKUP(Table2[[#This Row],[ID]],Table1[ID],Table1[Сума, євро],"",0,1)</f>
        <v>381</v>
      </c>
      <c r="G12" s="2" t="str">
        <f>_xlfn.XLOOKUP(Table2[[#This Row],[ID]],Table1[ID],Table1[Рік_місяць],"",0,1)</f>
        <v>2025.06</v>
      </c>
      <c r="H12" s="2" t="str">
        <f>_xlfn.XLOOKUP(Table2[[#This Row],[ID]],Table1[ID],Table1[Прайс],"",0,1)</f>
        <v>ClientDay</v>
      </c>
      <c r="I12" s="2" t="str">
        <f>_xlfn.XLOOKUP(Table2[[#This Row],[ID]],Table1[ID],Table1[Сегмент],"",0,1)</f>
        <v>КРУПНЫЙ БИЗНЕС</v>
      </c>
    </row>
    <row r="13" spans="1:9" x14ac:dyDescent="0.25">
      <c r="A13" s="2">
        <v>234569</v>
      </c>
      <c r="B13" s="2" t="s">
        <v>36</v>
      </c>
      <c r="C13" s="2" t="s">
        <v>37</v>
      </c>
      <c r="D13" s="2" t="s">
        <v>27</v>
      </c>
      <c r="E13" s="2" t="str">
        <f>_xlfn.XLOOKUP(Table2[[#This Row],[ID]],Table1[ID],Table1[Канал продажу],"",0,1)</f>
        <v>Корп клієнти</v>
      </c>
      <c r="F13" s="2">
        <f>_xlfn.XLOOKUP(Table2[[#This Row],[ID]],Table1[ID],Table1[Сума, євро],"",0,1)</f>
        <v>381</v>
      </c>
      <c r="G13" s="2" t="str">
        <f>_xlfn.XLOOKUP(Table2[[#This Row],[ID]],Table1[ID],Table1[Рік_місяць],"",0,1)</f>
        <v>2025.06</v>
      </c>
      <c r="H13" s="2" t="str">
        <f>_xlfn.XLOOKUP(Table2[[#This Row],[ID]],Table1[ID],Table1[Прайс],"",0,1)</f>
        <v>ClientDay</v>
      </c>
      <c r="I13" s="2" t="str">
        <f>_xlfn.XLOOKUP(Table2[[#This Row],[ID]],Table1[ID],Table1[Сегмент],"",0,1)</f>
        <v>КРУПНЫЙ БИЗНЕС</v>
      </c>
    </row>
    <row r="14" spans="1:9" x14ac:dyDescent="0.25">
      <c r="A14" s="2">
        <v>234569</v>
      </c>
      <c r="B14" s="2" t="s">
        <v>36</v>
      </c>
      <c r="C14" s="2" t="s">
        <v>37</v>
      </c>
      <c r="D14" s="2" t="s">
        <v>24</v>
      </c>
      <c r="E14" s="2" t="str">
        <f>_xlfn.XLOOKUP(Table2[[#This Row],[ID]],Table1[ID],Table1[Канал продажу],"",0,1)</f>
        <v>Корп клієнти</v>
      </c>
      <c r="F14" s="2">
        <f>_xlfn.XLOOKUP(Table2[[#This Row],[ID]],Table1[ID],Table1[Сума, євро],"",0,1)</f>
        <v>381</v>
      </c>
      <c r="G14" s="2" t="str">
        <f>_xlfn.XLOOKUP(Table2[[#This Row],[ID]],Table1[ID],Table1[Рік_місяць],"",0,1)</f>
        <v>2025.06</v>
      </c>
      <c r="H14" s="2" t="str">
        <f>_xlfn.XLOOKUP(Table2[[#This Row],[ID]],Table1[ID],Table1[Прайс],"",0,1)</f>
        <v>ClientDay</v>
      </c>
      <c r="I14" s="2" t="str">
        <f>_xlfn.XLOOKUP(Table2[[#This Row],[ID]],Table1[ID],Table1[Сегмент],"",0,1)</f>
        <v>КРУПНЫЙ БИЗНЕС</v>
      </c>
    </row>
    <row r="15" spans="1:9" x14ac:dyDescent="0.25">
      <c r="A15" s="2">
        <v>234570</v>
      </c>
      <c r="B15" s="2" t="s">
        <v>41</v>
      </c>
      <c r="C15" s="2" t="s">
        <v>42</v>
      </c>
      <c r="D15" s="2" t="s">
        <v>35</v>
      </c>
      <c r="E15" s="2" t="str">
        <f>_xlfn.XLOOKUP(Table2[[#This Row],[ID]],Table1[ID],Table1[Канал продажу],"",0,1)</f>
        <v>Нові продажі</v>
      </c>
      <c r="F15" s="2">
        <f>_xlfn.XLOOKUP(Table2[[#This Row],[ID]],Table1[ID],Table1[Сума, євро],"",0,1)</f>
        <v>889</v>
      </c>
      <c r="G15" s="2" t="str">
        <f>_xlfn.XLOOKUP(Table2[[#This Row],[ID]],Table1[ID],Table1[Рік_місяць],"",0,1)</f>
        <v>2025.05</v>
      </c>
      <c r="H15" s="2" t="str">
        <f>_xlfn.XLOOKUP(Table2[[#This Row],[ID]],Table1[ID],Table1[Прайс],"",0,1)</f>
        <v>LIGA360</v>
      </c>
      <c r="I15" s="2" t="str">
        <f>_xlfn.XLOOKUP(Table2[[#This Row],[ID]],Table1[ID],Table1[Сегмент],"",0,1)</f>
        <v>СРЕДНИЙ БИЗНЕС</v>
      </c>
    </row>
    <row r="16" spans="1:9" x14ac:dyDescent="0.25">
      <c r="A16" s="2">
        <v>234570</v>
      </c>
      <c r="B16" s="2" t="s">
        <v>41</v>
      </c>
      <c r="C16" s="2" t="s">
        <v>42</v>
      </c>
      <c r="D16" s="2" t="s">
        <v>27</v>
      </c>
      <c r="E16" s="2" t="str">
        <f>_xlfn.XLOOKUP(Table2[[#This Row],[ID]],Table1[ID],Table1[Канал продажу],"",0,1)</f>
        <v>Нові продажі</v>
      </c>
      <c r="F16" s="2">
        <f>_xlfn.XLOOKUP(Table2[[#This Row],[ID]],Table1[ID],Table1[Сума, євро],"",0,1)</f>
        <v>889</v>
      </c>
      <c r="G16" s="2" t="str">
        <f>_xlfn.XLOOKUP(Table2[[#This Row],[ID]],Table1[ID],Table1[Рік_місяць],"",0,1)</f>
        <v>2025.05</v>
      </c>
      <c r="H16" s="2" t="str">
        <f>_xlfn.XLOOKUP(Table2[[#This Row],[ID]],Table1[ID],Table1[Прайс],"",0,1)</f>
        <v>LIGA360</v>
      </c>
      <c r="I16" s="2" t="str">
        <f>_xlfn.XLOOKUP(Table2[[#This Row],[ID]],Table1[ID],Table1[Сегмент],"",0,1)</f>
        <v>СРЕДНИЙ БИЗНЕС</v>
      </c>
    </row>
    <row r="17" spans="1:9" x14ac:dyDescent="0.25">
      <c r="A17" s="2">
        <v>234570</v>
      </c>
      <c r="B17" s="2" t="s">
        <v>41</v>
      </c>
      <c r="C17" s="2" t="s">
        <v>42</v>
      </c>
      <c r="D17" s="2" t="s">
        <v>24</v>
      </c>
      <c r="E17" s="2" t="str">
        <f>_xlfn.XLOOKUP(Table2[[#This Row],[ID]],Table1[ID],Table1[Канал продажу],"",0,1)</f>
        <v>Нові продажі</v>
      </c>
      <c r="F17" s="2">
        <f>_xlfn.XLOOKUP(Table2[[#This Row],[ID]],Table1[ID],Table1[Сума, євро],"",0,1)</f>
        <v>889</v>
      </c>
      <c r="G17" s="2" t="str">
        <f>_xlfn.XLOOKUP(Table2[[#This Row],[ID]],Table1[ID],Table1[Рік_місяць],"",0,1)</f>
        <v>2025.05</v>
      </c>
      <c r="H17" s="2" t="str">
        <f>_xlfn.XLOOKUP(Table2[[#This Row],[ID]],Table1[ID],Table1[Прайс],"",0,1)</f>
        <v>LIGA360</v>
      </c>
      <c r="I17" s="2" t="str">
        <f>_xlfn.XLOOKUP(Table2[[#This Row],[ID]],Table1[ID],Table1[Сегмент],"",0,1)</f>
        <v>СРЕДНИЙ БИЗНЕС</v>
      </c>
    </row>
    <row r="18" spans="1:9" x14ac:dyDescent="0.25">
      <c r="A18" s="2">
        <v>234570</v>
      </c>
      <c r="B18" s="2" t="s">
        <v>41</v>
      </c>
      <c r="C18" s="2" t="s">
        <v>42</v>
      </c>
      <c r="D18" s="2" t="s">
        <v>43</v>
      </c>
      <c r="E18" s="2" t="str">
        <f>_xlfn.XLOOKUP(Table2[[#This Row],[ID]],Table1[ID],Table1[Канал продажу],"",0,1)</f>
        <v>Нові продажі</v>
      </c>
      <c r="F18" s="2">
        <f>_xlfn.XLOOKUP(Table2[[#This Row],[ID]],Table1[ID],Table1[Сума, євро],"",0,1)</f>
        <v>889</v>
      </c>
      <c r="G18" s="2" t="str">
        <f>_xlfn.XLOOKUP(Table2[[#This Row],[ID]],Table1[ID],Table1[Рік_місяць],"",0,1)</f>
        <v>2025.05</v>
      </c>
      <c r="H18" s="2" t="str">
        <f>_xlfn.XLOOKUP(Table2[[#This Row],[ID]],Table1[ID],Table1[Прайс],"",0,1)</f>
        <v>LIGA360</v>
      </c>
      <c r="I18" s="2" t="str">
        <f>_xlfn.XLOOKUP(Table2[[#This Row],[ID]],Table1[ID],Table1[Сегмент],"",0,1)</f>
        <v>СРЕДНИЙ БИЗНЕС</v>
      </c>
    </row>
    <row r="19" spans="1:9" x14ac:dyDescent="0.25">
      <c r="A19" s="2">
        <v>234570</v>
      </c>
      <c r="B19" s="2" t="s">
        <v>41</v>
      </c>
      <c r="C19" s="2" t="s">
        <v>42</v>
      </c>
      <c r="D19" s="2" t="s">
        <v>39</v>
      </c>
      <c r="E19" s="2" t="str">
        <f>_xlfn.XLOOKUP(Table2[[#This Row],[ID]],Table1[ID],Table1[Канал продажу],"",0,1)</f>
        <v>Нові продажі</v>
      </c>
      <c r="F19" s="2">
        <f>_xlfn.XLOOKUP(Table2[[#This Row],[ID]],Table1[ID],Table1[Сума, євро],"",0,1)</f>
        <v>889</v>
      </c>
      <c r="G19" s="2" t="str">
        <f>_xlfn.XLOOKUP(Table2[[#This Row],[ID]],Table1[ID],Table1[Рік_місяць],"",0,1)</f>
        <v>2025.05</v>
      </c>
      <c r="H19" s="2" t="str">
        <f>_xlfn.XLOOKUP(Table2[[#This Row],[ID]],Table1[ID],Table1[Прайс],"",0,1)</f>
        <v>LIGA360</v>
      </c>
      <c r="I19" s="2" t="str">
        <f>_xlfn.XLOOKUP(Table2[[#This Row],[ID]],Table1[ID],Table1[Сегмент],"",0,1)</f>
        <v>СРЕДНИЙ БИЗНЕС</v>
      </c>
    </row>
    <row r="20" spans="1:9" x14ac:dyDescent="0.25">
      <c r="A20" s="2">
        <v>234570</v>
      </c>
      <c r="B20" s="2" t="s">
        <v>41</v>
      </c>
      <c r="C20" s="2" t="s">
        <v>42</v>
      </c>
      <c r="D20" s="2" t="s">
        <v>44</v>
      </c>
      <c r="E20" s="2" t="str">
        <f>_xlfn.XLOOKUP(Table2[[#This Row],[ID]],Table1[ID],Table1[Канал продажу],"",0,1)</f>
        <v>Нові продажі</v>
      </c>
      <c r="F20" s="2">
        <f>_xlfn.XLOOKUP(Table2[[#This Row],[ID]],Table1[ID],Table1[Сума, євро],"",0,1)</f>
        <v>889</v>
      </c>
      <c r="G20" s="2" t="str">
        <f>_xlfn.XLOOKUP(Table2[[#This Row],[ID]],Table1[ID],Table1[Рік_місяць],"",0,1)</f>
        <v>2025.05</v>
      </c>
      <c r="H20" s="2" t="str">
        <f>_xlfn.XLOOKUP(Table2[[#This Row],[ID]],Table1[ID],Table1[Прайс],"",0,1)</f>
        <v>LIGA360</v>
      </c>
      <c r="I20" s="2" t="str">
        <f>_xlfn.XLOOKUP(Table2[[#This Row],[ID]],Table1[ID],Table1[Сегмент],"",0,1)</f>
        <v>СРЕДНИЙ БИЗНЕС</v>
      </c>
    </row>
    <row r="21" spans="1:9" x14ac:dyDescent="0.25">
      <c r="A21" s="2">
        <v>234570</v>
      </c>
      <c r="B21" s="2" t="s">
        <v>41</v>
      </c>
      <c r="C21" s="2" t="s">
        <v>42</v>
      </c>
      <c r="D21" s="2" t="s">
        <v>45</v>
      </c>
      <c r="E21" s="2" t="str">
        <f>_xlfn.XLOOKUP(Table2[[#This Row],[ID]],Table1[ID],Table1[Канал продажу],"",0,1)</f>
        <v>Нові продажі</v>
      </c>
      <c r="F21" s="2">
        <f>_xlfn.XLOOKUP(Table2[[#This Row],[ID]],Table1[ID],Table1[Сума, євро],"",0,1)</f>
        <v>889</v>
      </c>
      <c r="G21" s="2" t="str">
        <f>_xlfn.XLOOKUP(Table2[[#This Row],[ID]],Table1[ID],Table1[Рік_місяць],"",0,1)</f>
        <v>2025.05</v>
      </c>
      <c r="H21" s="2" t="str">
        <f>_xlfn.XLOOKUP(Table2[[#This Row],[ID]],Table1[ID],Table1[Прайс],"",0,1)</f>
        <v>LIGA360</v>
      </c>
      <c r="I21" s="2" t="str">
        <f>_xlfn.XLOOKUP(Table2[[#This Row],[ID]],Table1[ID],Table1[Сегмент],"",0,1)</f>
        <v>СРЕДНИЙ БИЗНЕС</v>
      </c>
    </row>
    <row r="22" spans="1:9" x14ac:dyDescent="0.25">
      <c r="A22" s="2">
        <v>234571</v>
      </c>
      <c r="B22" s="2" t="s">
        <v>46</v>
      </c>
      <c r="C22" s="2" t="s">
        <v>47</v>
      </c>
      <c r="D22" s="2" t="s">
        <v>45</v>
      </c>
      <c r="E22" s="2" t="str">
        <f>_xlfn.XLOOKUP(Table2[[#This Row],[ID]],Table1[ID],Table1[Канал продажу],"",0,1)</f>
        <v>ЮрАудит бізнес</v>
      </c>
      <c r="F22" s="2">
        <f>_xlfn.XLOOKUP(Table2[[#This Row],[ID]],Table1[ID],Table1[Сума, євро],"",0,1)</f>
        <v>76.2</v>
      </c>
      <c r="G22" s="2" t="str">
        <f>_xlfn.XLOOKUP(Table2[[#This Row],[ID]],Table1[ID],Table1[Рік_місяць],"",0,1)</f>
        <v>2025.06</v>
      </c>
      <c r="H22" s="2" t="str">
        <f>_xlfn.XLOOKUP(Table2[[#This Row],[ID]],Table1[ID],Table1[Прайс],"",0,1)</f>
        <v>ClientDay</v>
      </c>
      <c r="I22" s="2" t="str">
        <f>_xlfn.XLOOKUP(Table2[[#This Row],[ID]],Table1[ID],Table1[Сегмент],"",0,1)</f>
        <v>МАЛЫЙ БИЗНЕС</v>
      </c>
    </row>
    <row r="23" spans="1:9" x14ac:dyDescent="0.25">
      <c r="A23" s="2">
        <v>234572</v>
      </c>
      <c r="B23" s="2" t="s">
        <v>48</v>
      </c>
      <c r="C23" s="2" t="s">
        <v>49</v>
      </c>
      <c r="D23" s="2" t="s">
        <v>24</v>
      </c>
      <c r="E23" s="2" t="str">
        <f>_xlfn.XLOOKUP(Table2[[#This Row],[ID]],Table1[ID],Table1[Канал продажу],"",0,1)</f>
        <v>Дилерська мережа</v>
      </c>
      <c r="F23" s="2">
        <f>_xlfn.XLOOKUP(Table2[[#This Row],[ID]],Table1[ID],Table1[Сума, євро],"",0,1)</f>
        <v>127</v>
      </c>
      <c r="G23" s="2" t="str">
        <f>_xlfn.XLOOKUP(Table2[[#This Row],[ID]],Table1[ID],Table1[Рік_місяць],"",0,1)</f>
        <v>2025.05</v>
      </c>
      <c r="H23" s="2" t="str">
        <f>_xlfn.XLOOKUP(Table2[[#This Row],[ID]],Table1[ID],Table1[Прайс],"",0,1)</f>
        <v>LIGA360</v>
      </c>
      <c r="I23" s="2" t="str">
        <f>_xlfn.XLOOKUP(Table2[[#This Row],[ID]],Table1[ID],Table1[Сегмент],"",0,1)</f>
        <v>МАЛЫЙ БИЗНЕС</v>
      </c>
    </row>
    <row r="24" spans="1:9" x14ac:dyDescent="0.25">
      <c r="A24" s="2">
        <v>234573</v>
      </c>
      <c r="B24" s="2" t="s">
        <v>50</v>
      </c>
      <c r="C24" s="2" t="s">
        <v>51</v>
      </c>
      <c r="D24" s="2" t="s">
        <v>24</v>
      </c>
      <c r="E24" s="2" t="str">
        <f>_xlfn.XLOOKUP(Table2[[#This Row],[ID]],Table1[ID],Table1[Канал продажу],"",0,1)</f>
        <v>Дилерська мережа</v>
      </c>
      <c r="F24" s="2">
        <f>_xlfn.XLOOKUP(Table2[[#This Row],[ID]],Table1[ID],Table1[Сума, євро],"",0,1)</f>
        <v>76.2</v>
      </c>
      <c r="G24" s="2" t="str">
        <f>_xlfn.XLOOKUP(Table2[[#This Row],[ID]],Table1[ID],Table1[Рік_місяць],"",0,1)</f>
        <v>2025.06</v>
      </c>
      <c r="H24" s="2" t="str">
        <f>_xlfn.XLOOKUP(Table2[[#This Row],[ID]],Table1[ID],Table1[Прайс],"",0,1)</f>
        <v>ClientDay</v>
      </c>
      <c r="I24" s="2" t="str">
        <f>_xlfn.XLOOKUP(Table2[[#This Row],[ID]],Table1[ID],Table1[Сегмент],"",0,1)</f>
        <v>МАЛЫЙ БИЗНЕС</v>
      </c>
    </row>
    <row r="25" spans="1:9" x14ac:dyDescent="0.25">
      <c r="A25" s="2">
        <v>234574</v>
      </c>
      <c r="B25" s="2" t="s">
        <v>52</v>
      </c>
      <c r="C25" s="2" t="s">
        <v>53</v>
      </c>
      <c r="D25" s="2" t="s">
        <v>25</v>
      </c>
      <c r="E25" s="2" t="str">
        <f>_xlfn.XLOOKUP(Table2[[#This Row],[ID]],Table1[ID],Table1[Канал продажу],"",0,1)</f>
        <v>Дилерська мережа</v>
      </c>
      <c r="F25" s="2">
        <f>_xlfn.XLOOKUP(Table2[[#This Row],[ID]],Table1[ID],Table1[Сума, євро],"",0,1)</f>
        <v>76.2</v>
      </c>
      <c r="G25" s="2" t="str">
        <f>_xlfn.XLOOKUP(Table2[[#This Row],[ID]],Table1[ID],Table1[Рік_місяць],"",0,1)</f>
        <v>2025.05</v>
      </c>
      <c r="H25" s="2" t="str">
        <f>_xlfn.XLOOKUP(Table2[[#This Row],[ID]],Table1[ID],Table1[Прайс],"",0,1)</f>
        <v>ClientDay</v>
      </c>
      <c r="I25" s="2" t="str">
        <f>_xlfn.XLOOKUP(Table2[[#This Row],[ID]],Table1[ID],Table1[Сегмент],"",0,1)</f>
        <v>МАЛЫЙ ЮР. БИЗНЕС</v>
      </c>
    </row>
    <row r="26" spans="1:9" x14ac:dyDescent="0.25">
      <c r="A26" s="2">
        <v>234575</v>
      </c>
      <c r="B26" s="2" t="s">
        <v>54</v>
      </c>
      <c r="C26" s="2" t="s">
        <v>55</v>
      </c>
      <c r="D26" s="2" t="s">
        <v>26</v>
      </c>
      <c r="E26" s="2" t="str">
        <f>_xlfn.XLOOKUP(Table2[[#This Row],[ID]],Table1[ID],Table1[Канал продажу],"",0,1)</f>
        <v>Дилерська мережа</v>
      </c>
      <c r="F26" s="2">
        <f>_xlfn.XLOOKUP(Table2[[#This Row],[ID]],Table1[ID],Table1[Сума, євро],"",0,1)</f>
        <v>76.2</v>
      </c>
      <c r="G26" s="2" t="str">
        <f>_xlfn.XLOOKUP(Table2[[#This Row],[ID]],Table1[ID],Table1[Рік_місяць],"",0,1)</f>
        <v>2025.06</v>
      </c>
      <c r="H26" s="2" t="str">
        <f>_xlfn.XLOOKUP(Table2[[#This Row],[ID]],Table1[ID],Table1[Прайс],"",0,1)</f>
        <v>ClientDay</v>
      </c>
      <c r="I26" s="2" t="str">
        <f>_xlfn.XLOOKUP(Table2[[#This Row],[ID]],Table1[ID],Table1[Сегмент],"",0,1)</f>
        <v>МАЛЫЙ БИЗНЕС</v>
      </c>
    </row>
    <row r="27" spans="1:9" x14ac:dyDescent="0.25">
      <c r="A27" s="2">
        <v>234576</v>
      </c>
      <c r="B27" s="2" t="s">
        <v>56</v>
      </c>
      <c r="C27" s="2" t="s">
        <v>57</v>
      </c>
      <c r="D27" s="2" t="s">
        <v>27</v>
      </c>
      <c r="E27" s="2" t="str">
        <f>_xlfn.XLOOKUP(Table2[[#This Row],[ID]],Table1[ID],Table1[Канал продажу],"",0,1)</f>
        <v>Дилерська мережа</v>
      </c>
      <c r="F27" s="2">
        <f>_xlfn.XLOOKUP(Table2[[#This Row],[ID]],Table1[ID],Table1[Сума, євро],"",0,1)</f>
        <v>76.2</v>
      </c>
      <c r="G27" s="2" t="str">
        <f>_xlfn.XLOOKUP(Table2[[#This Row],[ID]],Table1[ID],Table1[Рік_місяць],"",0,1)</f>
        <v>2025.05</v>
      </c>
      <c r="H27" s="2" t="str">
        <f>_xlfn.XLOOKUP(Table2[[#This Row],[ID]],Table1[ID],Table1[Прайс],"",0,1)</f>
        <v>ClientDay</v>
      </c>
      <c r="I27" s="2" t="str">
        <f>_xlfn.XLOOKUP(Table2[[#This Row],[ID]],Table1[ID],Table1[Сегмент],"",0,1)</f>
        <v>СРЕДНИЙ БИЗНЕС</v>
      </c>
    </row>
    <row r="28" spans="1:9" x14ac:dyDescent="0.25">
      <c r="A28" s="2">
        <v>234577</v>
      </c>
      <c r="B28" s="2" t="s">
        <v>58</v>
      </c>
      <c r="C28" s="2" t="s">
        <v>59</v>
      </c>
      <c r="D28" s="2" t="s">
        <v>28</v>
      </c>
      <c r="E28" s="2" t="str">
        <f>_xlfn.XLOOKUP(Table2[[#This Row],[ID]],Table1[ID],Table1[Канал продажу],"",0,1)</f>
        <v>Нові продажі</v>
      </c>
      <c r="F28" s="2">
        <f>_xlfn.XLOOKUP(Table2[[#This Row],[ID]],Table1[ID],Table1[Сума, євро],"",0,1)</f>
        <v>76.2</v>
      </c>
      <c r="G28" s="2" t="str">
        <f>_xlfn.XLOOKUP(Table2[[#This Row],[ID]],Table1[ID],Table1[Рік_місяць],"",0,1)</f>
        <v>2025.06</v>
      </c>
      <c r="H28" s="2" t="str">
        <f>_xlfn.XLOOKUP(Table2[[#This Row],[ID]],Table1[ID],Table1[Прайс],"",0,1)</f>
        <v>ClientDay</v>
      </c>
      <c r="I28" s="2" t="str">
        <f>_xlfn.XLOOKUP(Table2[[#This Row],[ID]],Table1[ID],Table1[Сегмент],"",0,1)</f>
        <v>МАЛЫЙ ЮР. БИЗНЕС</v>
      </c>
    </row>
    <row r="29" spans="1:9" x14ac:dyDescent="0.25">
      <c r="A29" s="2">
        <v>234578</v>
      </c>
      <c r="B29" s="2" t="s">
        <v>60</v>
      </c>
      <c r="C29" s="2" t="s">
        <v>61</v>
      </c>
      <c r="D29" s="2" t="s">
        <v>31</v>
      </c>
      <c r="E29" s="2" t="str">
        <f>_xlfn.XLOOKUP(Table2[[#This Row],[ID]],Table1[ID],Table1[Канал продажу],"",0,1)</f>
        <v>ЮрАудит бізнес</v>
      </c>
      <c r="F29" s="2">
        <f>_xlfn.XLOOKUP(Table2[[#This Row],[ID]],Table1[ID],Table1[Сума, євро],"",0,1)</f>
        <v>76.2</v>
      </c>
      <c r="G29" s="2" t="str">
        <f>_xlfn.XLOOKUP(Table2[[#This Row],[ID]],Table1[ID],Table1[Рік_місяць],"",0,1)</f>
        <v>2025.05</v>
      </c>
      <c r="H29" s="2" t="str">
        <f>_xlfn.XLOOKUP(Table2[[#This Row],[ID]],Table1[ID],Table1[Прайс],"",0,1)</f>
        <v>ClientDay</v>
      </c>
      <c r="I29" s="2" t="str">
        <f>_xlfn.XLOOKUP(Table2[[#This Row],[ID]],Table1[ID],Table1[Сегмент],"",0,1)</f>
        <v>МАЛЫЙ БУХ.-АУДИТ. БИЗНЕС</v>
      </c>
    </row>
    <row r="30" spans="1:9" x14ac:dyDescent="0.25">
      <c r="A30" s="2">
        <v>234579</v>
      </c>
      <c r="B30" s="2" t="s">
        <v>62</v>
      </c>
      <c r="C30" s="2" t="s">
        <v>63</v>
      </c>
      <c r="D30" s="2" t="s">
        <v>34</v>
      </c>
      <c r="E30" s="2" t="str">
        <f>_xlfn.XLOOKUP(Table2[[#This Row],[ID]],Table1[ID],Table1[Канал продажу],"",0,1)</f>
        <v>Дилерська мережа</v>
      </c>
      <c r="F30" s="2">
        <f>_xlfn.XLOOKUP(Table2[[#This Row],[ID]],Table1[ID],Table1[Сума, євро],"",0,1)</f>
        <v>127</v>
      </c>
      <c r="G30" s="2" t="str">
        <f>_xlfn.XLOOKUP(Table2[[#This Row],[ID]],Table1[ID],Table1[Рік_місяць],"",0,1)</f>
        <v>2025.06</v>
      </c>
      <c r="H30" s="2" t="str">
        <f>_xlfn.XLOOKUP(Table2[[#This Row],[ID]],Table1[ID],Table1[Прайс],"",0,1)</f>
        <v>LIGA360</v>
      </c>
      <c r="I30" s="2" t="str">
        <f>_xlfn.XLOOKUP(Table2[[#This Row],[ID]],Table1[ID],Table1[Сегмент],"",0,1)</f>
        <v>ГОС ВЛАСТЬ</v>
      </c>
    </row>
    <row r="31" spans="1:9" x14ac:dyDescent="0.25">
      <c r="A31" s="2">
        <v>234580</v>
      </c>
      <c r="B31" s="2" t="s">
        <v>64</v>
      </c>
      <c r="C31" s="2" t="s">
        <v>65</v>
      </c>
      <c r="D31" s="2" t="s">
        <v>35</v>
      </c>
      <c r="E31" s="2" t="str">
        <f>_xlfn.XLOOKUP(Table2[[#This Row],[ID]],Table1[ID],Table1[Канал продажу],"",0,1)</f>
        <v>Дилерська мережа</v>
      </c>
      <c r="F31" s="2">
        <f>_xlfn.XLOOKUP(Table2[[#This Row],[ID]],Table1[ID],Table1[Сума, євро],"",0,1)</f>
        <v>127</v>
      </c>
      <c r="G31" s="2" t="str">
        <f>_xlfn.XLOOKUP(Table2[[#This Row],[ID]],Table1[ID],Table1[Рік_місяць],"",0,1)</f>
        <v>2025.05</v>
      </c>
      <c r="H31" s="2" t="str">
        <f>_xlfn.XLOOKUP(Table2[[#This Row],[ID]],Table1[ID],Table1[Прайс],"",0,1)</f>
        <v>LIGA360</v>
      </c>
      <c r="I31" s="2" t="str">
        <f>_xlfn.XLOOKUP(Table2[[#This Row],[ID]],Table1[ID],Table1[Сегмент],"",0,1)</f>
        <v>МАЛЫЙ БИЗНЕС</v>
      </c>
    </row>
    <row r="32" spans="1:9" x14ac:dyDescent="0.25">
      <c r="A32" s="2">
        <v>234581</v>
      </c>
      <c r="B32" s="2" t="s">
        <v>66</v>
      </c>
      <c r="C32" s="2" t="s">
        <v>67</v>
      </c>
      <c r="D32" s="2" t="s">
        <v>38</v>
      </c>
      <c r="E32" s="2" t="str">
        <f>_xlfn.XLOOKUP(Table2[[#This Row],[ID]],Table1[ID],Table1[Канал продажу],"",0,1)</f>
        <v>ЮрАудит бізнес</v>
      </c>
      <c r="F32" s="2">
        <f>_xlfn.XLOOKUP(Table2[[#This Row],[ID]],Table1[ID],Table1[Сума, євро],"",0,1)</f>
        <v>254</v>
      </c>
      <c r="G32" s="2" t="str">
        <f>_xlfn.XLOOKUP(Table2[[#This Row],[ID]],Table1[ID],Table1[Рік_місяць],"",0,1)</f>
        <v>2025.06</v>
      </c>
      <c r="H32" s="2" t="str">
        <f>_xlfn.XLOOKUP(Table2[[#This Row],[ID]],Table1[ID],Table1[Прайс],"",0,1)</f>
        <v>LIGA360</v>
      </c>
      <c r="I32" s="2" t="str">
        <f>_xlfn.XLOOKUP(Table2[[#This Row],[ID]],Table1[ID],Table1[Сегмент],"",0,1)</f>
        <v>МАЛЫЙ БУХ.-АУДИТ. БИЗНЕС</v>
      </c>
    </row>
    <row r="33" spans="1:9" x14ac:dyDescent="0.25">
      <c r="A33" s="2">
        <v>234581</v>
      </c>
      <c r="B33" s="2" t="s">
        <v>66</v>
      </c>
      <c r="C33" s="2" t="s">
        <v>67</v>
      </c>
      <c r="D33" s="2" t="s">
        <v>35</v>
      </c>
      <c r="E33" s="2" t="str">
        <f>_xlfn.XLOOKUP(Table2[[#This Row],[ID]],Table1[ID],Table1[Канал продажу],"",0,1)</f>
        <v>ЮрАудит бізнес</v>
      </c>
      <c r="F33" s="2">
        <f>_xlfn.XLOOKUP(Table2[[#This Row],[ID]],Table1[ID],Table1[Сума, євро],"",0,1)</f>
        <v>254</v>
      </c>
      <c r="G33" s="2" t="str">
        <f>_xlfn.XLOOKUP(Table2[[#This Row],[ID]],Table1[ID],Table1[Рік_місяць],"",0,1)</f>
        <v>2025.06</v>
      </c>
      <c r="H33" s="2" t="str">
        <f>_xlfn.XLOOKUP(Table2[[#This Row],[ID]],Table1[ID],Table1[Прайс],"",0,1)</f>
        <v>LIGA360</v>
      </c>
      <c r="I33" s="2" t="str">
        <f>_xlfn.XLOOKUP(Table2[[#This Row],[ID]],Table1[ID],Table1[Сегмент],"",0,1)</f>
        <v>МАЛЫЙ БУХ.-АУДИТ. БИЗНЕС</v>
      </c>
    </row>
    <row r="34" spans="1:9" x14ac:dyDescent="0.25">
      <c r="A34" s="2">
        <v>234582</v>
      </c>
      <c r="B34" s="2" t="s">
        <v>68</v>
      </c>
      <c r="C34" s="2" t="s">
        <v>69</v>
      </c>
      <c r="D34" s="2" t="s">
        <v>40</v>
      </c>
      <c r="E34" s="2" t="str">
        <f>_xlfn.XLOOKUP(Table2[[#This Row],[ID]],Table1[ID],Table1[Канал продажу],"",0,1)</f>
        <v>Держ регіональні</v>
      </c>
      <c r="F34" s="2">
        <f>_xlfn.XLOOKUP(Table2[[#This Row],[ID]],Table1[ID],Table1[Сума, євро],"",0,1)</f>
        <v>254</v>
      </c>
      <c r="G34" s="2" t="str">
        <f>_xlfn.XLOOKUP(Table2[[#This Row],[ID]],Table1[ID],Table1[Рік_місяць],"",0,1)</f>
        <v>2025.05</v>
      </c>
      <c r="H34" s="2" t="str">
        <f>_xlfn.XLOOKUP(Table2[[#This Row],[ID]],Table1[ID],Table1[Прайс],"",0,1)</f>
        <v>LIGA360</v>
      </c>
      <c r="I34" s="2" t="str">
        <f>_xlfn.XLOOKUP(Table2[[#This Row],[ID]],Table1[ID],Table1[Сегмент],"",0,1)</f>
        <v>КРУПНЫЙ БИЗНЕС</v>
      </c>
    </row>
    <row r="35" spans="1:9" x14ac:dyDescent="0.25">
      <c r="A35" s="2">
        <v>234582</v>
      </c>
      <c r="B35" s="2" t="s">
        <v>68</v>
      </c>
      <c r="C35" s="2" t="s">
        <v>69</v>
      </c>
      <c r="D35" s="2" t="s">
        <v>24</v>
      </c>
      <c r="E35" s="2" t="str">
        <f>_xlfn.XLOOKUP(Table2[[#This Row],[ID]],Table1[ID],Table1[Канал продажу],"",0,1)</f>
        <v>Держ регіональні</v>
      </c>
      <c r="F35" s="2">
        <f>_xlfn.XLOOKUP(Table2[[#This Row],[ID]],Table1[ID],Table1[Сума, євро],"",0,1)</f>
        <v>254</v>
      </c>
      <c r="G35" s="2" t="str">
        <f>_xlfn.XLOOKUP(Table2[[#This Row],[ID]],Table1[ID],Table1[Рік_місяць],"",0,1)</f>
        <v>2025.05</v>
      </c>
      <c r="H35" s="2" t="str">
        <f>_xlfn.XLOOKUP(Table2[[#This Row],[ID]],Table1[ID],Table1[Прайс],"",0,1)</f>
        <v>LIGA360</v>
      </c>
      <c r="I35" s="2" t="str">
        <f>_xlfn.XLOOKUP(Table2[[#This Row],[ID]],Table1[ID],Table1[Сегмент],"",0,1)</f>
        <v>КРУПНЫЙ БИЗНЕС</v>
      </c>
    </row>
    <row r="36" spans="1:9" x14ac:dyDescent="0.25">
      <c r="A36" s="2">
        <v>234583</v>
      </c>
      <c r="B36" s="2" t="s">
        <v>70</v>
      </c>
      <c r="C36" s="2" t="s">
        <v>71</v>
      </c>
      <c r="D36" s="2" t="s">
        <v>44</v>
      </c>
      <c r="E36" s="2" t="str">
        <f>_xlfn.XLOOKUP(Table2[[#This Row],[ID]],Table1[ID],Table1[Канал продажу],"",0,1)</f>
        <v>Дилерська мережа</v>
      </c>
      <c r="F36" s="2">
        <f>_xlfn.XLOOKUP(Table2[[#This Row],[ID]],Table1[ID],Table1[Сума, євро],"",0,1)</f>
        <v>381</v>
      </c>
      <c r="G36" s="2" t="str">
        <f>_xlfn.XLOOKUP(Table2[[#This Row],[ID]],Table1[ID],Table1[Рік_місяць],"",0,1)</f>
        <v>2025.06</v>
      </c>
      <c r="H36" s="2" t="str">
        <f>_xlfn.XLOOKUP(Table2[[#This Row],[ID]],Table1[ID],Table1[Прайс],"",0,1)</f>
        <v>LIGA360</v>
      </c>
      <c r="I36" s="2" t="str">
        <f>_xlfn.XLOOKUP(Table2[[#This Row],[ID]],Table1[ID],Table1[Сегмент],"",0,1)</f>
        <v>МАЛЫЙ БИЗНЕС</v>
      </c>
    </row>
    <row r="37" spans="1:9" x14ac:dyDescent="0.25">
      <c r="A37" s="2">
        <v>234583</v>
      </c>
      <c r="B37" s="2" t="s">
        <v>70</v>
      </c>
      <c r="C37" s="2" t="s">
        <v>71</v>
      </c>
      <c r="D37" s="2" t="s">
        <v>24</v>
      </c>
      <c r="E37" s="2" t="str">
        <f>_xlfn.XLOOKUP(Table2[[#This Row],[ID]],Table1[ID],Table1[Канал продажу],"",0,1)</f>
        <v>Дилерська мережа</v>
      </c>
      <c r="F37" s="2">
        <f>_xlfn.XLOOKUP(Table2[[#This Row],[ID]],Table1[ID],Table1[Сума, євро],"",0,1)</f>
        <v>381</v>
      </c>
      <c r="G37" s="2" t="str">
        <f>_xlfn.XLOOKUP(Table2[[#This Row],[ID]],Table1[ID],Table1[Рік_місяць],"",0,1)</f>
        <v>2025.06</v>
      </c>
      <c r="H37" s="2" t="str">
        <f>_xlfn.XLOOKUP(Table2[[#This Row],[ID]],Table1[ID],Table1[Прайс],"",0,1)</f>
        <v>LIGA360</v>
      </c>
      <c r="I37" s="2" t="str">
        <f>_xlfn.XLOOKUP(Table2[[#This Row],[ID]],Table1[ID],Table1[Сегмент],"",0,1)</f>
        <v>МАЛЫЙ БИЗНЕС</v>
      </c>
    </row>
    <row r="38" spans="1:9" x14ac:dyDescent="0.25">
      <c r="A38" s="2">
        <v>234583</v>
      </c>
      <c r="B38" s="2" t="s">
        <v>70</v>
      </c>
      <c r="C38" s="2" t="s">
        <v>71</v>
      </c>
      <c r="D38" s="2" t="s">
        <v>26</v>
      </c>
      <c r="E38" s="2" t="str">
        <f>_xlfn.XLOOKUP(Table2[[#This Row],[ID]],Table1[ID],Table1[Канал продажу],"",0,1)</f>
        <v>Дилерська мережа</v>
      </c>
      <c r="F38" s="2">
        <f>_xlfn.XLOOKUP(Table2[[#This Row],[ID]],Table1[ID],Table1[Сума, євро],"",0,1)</f>
        <v>381</v>
      </c>
      <c r="G38" s="2" t="str">
        <f>_xlfn.XLOOKUP(Table2[[#This Row],[ID]],Table1[ID],Table1[Рік_місяць],"",0,1)</f>
        <v>2025.06</v>
      </c>
      <c r="H38" s="2" t="str">
        <f>_xlfn.XLOOKUP(Table2[[#This Row],[ID]],Table1[ID],Table1[Прайс],"",0,1)</f>
        <v>LIGA360</v>
      </c>
      <c r="I38" s="2" t="str">
        <f>_xlfn.XLOOKUP(Table2[[#This Row],[ID]],Table1[ID],Table1[Сегмент],"",0,1)</f>
        <v>МАЛЫЙ БИЗНЕС</v>
      </c>
    </row>
    <row r="39" spans="1:9" x14ac:dyDescent="0.25">
      <c r="A39" s="2">
        <v>234584</v>
      </c>
      <c r="B39" s="2" t="s">
        <v>72</v>
      </c>
      <c r="C39" s="2" t="s">
        <v>73</v>
      </c>
      <c r="D39" s="2" t="s">
        <v>24</v>
      </c>
      <c r="E39" s="2" t="str">
        <f>_xlfn.XLOOKUP(Table2[[#This Row],[ID]],Table1[ID],Table1[Канал продажу],"",0,1)</f>
        <v>Нові продажі</v>
      </c>
      <c r="F39" s="2">
        <f>_xlfn.XLOOKUP(Table2[[#This Row],[ID]],Table1[ID],Table1[Сума, євро],"",0,1)</f>
        <v>254</v>
      </c>
      <c r="G39" s="2" t="str">
        <f>_xlfn.XLOOKUP(Table2[[#This Row],[ID]],Table1[ID],Table1[Рік_місяць],"",0,1)</f>
        <v>2025.05</v>
      </c>
      <c r="H39" s="2" t="str">
        <f>_xlfn.XLOOKUP(Table2[[#This Row],[ID]],Table1[ID],Table1[Прайс],"",0,1)</f>
        <v>LIGA360</v>
      </c>
      <c r="I39" s="2" t="str">
        <f>_xlfn.XLOOKUP(Table2[[#This Row],[ID]],Table1[ID],Table1[Сегмент],"",0,1)</f>
        <v>МАЛЫЙ БИЗНЕС</v>
      </c>
    </row>
    <row r="40" spans="1:9" x14ac:dyDescent="0.25">
      <c r="A40" s="2">
        <v>234584</v>
      </c>
      <c r="B40" s="2" t="s">
        <v>72</v>
      </c>
      <c r="C40" s="2" t="s">
        <v>73</v>
      </c>
      <c r="D40" s="2" t="s">
        <v>25</v>
      </c>
      <c r="E40" s="2" t="str">
        <f>_xlfn.XLOOKUP(Table2[[#This Row],[ID]],Table1[ID],Table1[Канал продажу],"",0,1)</f>
        <v>Нові продажі</v>
      </c>
      <c r="F40" s="2">
        <f>_xlfn.XLOOKUP(Table2[[#This Row],[ID]],Table1[ID],Table1[Сума, євро],"",0,1)</f>
        <v>254</v>
      </c>
      <c r="G40" s="2" t="str">
        <f>_xlfn.XLOOKUP(Table2[[#This Row],[ID]],Table1[ID],Table1[Рік_місяць],"",0,1)</f>
        <v>2025.05</v>
      </c>
      <c r="H40" s="2" t="str">
        <f>_xlfn.XLOOKUP(Table2[[#This Row],[ID]],Table1[ID],Table1[Прайс],"",0,1)</f>
        <v>LIGA360</v>
      </c>
      <c r="I40" s="2" t="str">
        <f>_xlfn.XLOOKUP(Table2[[#This Row],[ID]],Table1[ID],Table1[Сегмент],"",0,1)</f>
        <v>МАЛЫЙ БИЗНЕС</v>
      </c>
    </row>
    <row r="41" spans="1:9" x14ac:dyDescent="0.25">
      <c r="A41" s="2">
        <v>234585</v>
      </c>
      <c r="B41" s="2" t="s">
        <v>74</v>
      </c>
      <c r="C41" s="2" t="s">
        <v>75</v>
      </c>
      <c r="D41" s="2" t="s">
        <v>39</v>
      </c>
      <c r="E41" s="2" t="str">
        <f>_xlfn.XLOOKUP(Table2[[#This Row],[ID]],Table1[ID],Table1[Канал продажу],"",0,1)</f>
        <v>ЮрАудит бізнес</v>
      </c>
      <c r="F41" s="2">
        <f>_xlfn.XLOOKUP(Table2[[#This Row],[ID]],Table1[ID],Table1[Сума, євро],"",0,1)</f>
        <v>254</v>
      </c>
      <c r="G41" s="2" t="str">
        <f>_xlfn.XLOOKUP(Table2[[#This Row],[ID]],Table1[ID],Table1[Рік_місяць],"",0,1)</f>
        <v>2025.06</v>
      </c>
      <c r="H41" s="2" t="str">
        <f>_xlfn.XLOOKUP(Table2[[#This Row],[ID]],Table1[ID],Table1[Прайс],"",0,1)</f>
        <v>LIGA360</v>
      </c>
      <c r="I41" s="2" t="str">
        <f>_xlfn.XLOOKUP(Table2[[#This Row],[ID]],Table1[ID],Table1[Сегмент],"",0,1)</f>
        <v>СРЕДНИЙ ЮР. БИЗНЕС</v>
      </c>
    </row>
    <row r="42" spans="1:9" x14ac:dyDescent="0.25">
      <c r="A42" s="2">
        <v>234585</v>
      </c>
      <c r="B42" s="2" t="s">
        <v>74</v>
      </c>
      <c r="C42" s="2" t="s">
        <v>75</v>
      </c>
      <c r="D42" s="2" t="s">
        <v>44</v>
      </c>
      <c r="E42" s="2" t="str">
        <f>_xlfn.XLOOKUP(Table2[[#This Row],[ID]],Table1[ID],Table1[Канал продажу],"",0,1)</f>
        <v>ЮрАудит бізнес</v>
      </c>
      <c r="F42" s="2">
        <f>_xlfn.XLOOKUP(Table2[[#This Row],[ID]],Table1[ID],Table1[Сума, євро],"",0,1)</f>
        <v>254</v>
      </c>
      <c r="G42" s="2" t="str">
        <f>_xlfn.XLOOKUP(Table2[[#This Row],[ID]],Table1[ID],Table1[Рік_місяць],"",0,1)</f>
        <v>2025.06</v>
      </c>
      <c r="H42" s="2" t="str">
        <f>_xlfn.XLOOKUP(Table2[[#This Row],[ID]],Table1[ID],Table1[Прайс],"",0,1)</f>
        <v>LIGA360</v>
      </c>
      <c r="I42" s="2" t="str">
        <f>_xlfn.XLOOKUP(Table2[[#This Row],[ID]],Table1[ID],Table1[Сегмент],"",0,1)</f>
        <v>СРЕДНИЙ ЮР. БИЗНЕС</v>
      </c>
    </row>
    <row r="43" spans="1:9" x14ac:dyDescent="0.25">
      <c r="A43" s="2">
        <v>234586</v>
      </c>
      <c r="B43" s="2" t="s">
        <v>76</v>
      </c>
      <c r="C43" s="2" t="s">
        <v>77</v>
      </c>
      <c r="D43" s="2" t="s">
        <v>26</v>
      </c>
      <c r="E43" s="2" t="str">
        <f>_xlfn.XLOOKUP(Table2[[#This Row],[ID]],Table1[ID],Table1[Канал продажу],"",0,1)</f>
        <v>Дилерська мережа</v>
      </c>
      <c r="F43" s="2">
        <f>_xlfn.XLOOKUP(Table2[[#This Row],[ID]],Table1[ID],Table1[Сума, євро],"",0,1)</f>
        <v>76.2</v>
      </c>
      <c r="G43" s="2" t="str">
        <f>_xlfn.XLOOKUP(Table2[[#This Row],[ID]],Table1[ID],Table1[Рік_місяць],"",0,1)</f>
        <v>2025.05</v>
      </c>
      <c r="H43" s="2" t="str">
        <f>_xlfn.XLOOKUP(Table2[[#This Row],[ID]],Table1[ID],Table1[Прайс],"",0,1)</f>
        <v>ClientDay</v>
      </c>
      <c r="I43" s="2" t="str">
        <f>_xlfn.XLOOKUP(Table2[[#This Row],[ID]],Table1[ID],Table1[Сегмент],"",0,1)</f>
        <v>МАЛЫЙ ЮР. БИЗНЕС</v>
      </c>
    </row>
    <row r="44" spans="1:9" x14ac:dyDescent="0.25">
      <c r="A44" s="2">
        <v>234587</v>
      </c>
      <c r="B44" s="2" t="s">
        <v>78</v>
      </c>
      <c r="C44" s="2" t="s">
        <v>79</v>
      </c>
      <c r="D44" s="2" t="s">
        <v>80</v>
      </c>
      <c r="E44" s="2" t="str">
        <f>_xlfn.XLOOKUP(Table2[[#This Row],[ID]],Table1[ID],Table1[Канал продажу],"",0,1)</f>
        <v>Дилерська мережа</v>
      </c>
      <c r="F44" s="2">
        <f>_xlfn.XLOOKUP(Table2[[#This Row],[ID]],Table1[ID],Table1[Сума, євро],"",0,1)</f>
        <v>76.2</v>
      </c>
      <c r="G44" s="2" t="str">
        <f>_xlfn.XLOOKUP(Table2[[#This Row],[ID]],Table1[ID],Table1[Рік_місяць],"",0,1)</f>
        <v>2025.06</v>
      </c>
      <c r="H44" s="2" t="str">
        <f>_xlfn.XLOOKUP(Table2[[#This Row],[ID]],Table1[ID],Table1[Прайс],"",0,1)</f>
        <v>ClientDay</v>
      </c>
      <c r="I44" s="2" t="str">
        <f>_xlfn.XLOOKUP(Table2[[#This Row],[ID]],Table1[ID],Table1[Сегмент],"",0,1)</f>
        <v>ФИЗ.ЛИЦО-ПРЕДПРИНИМАТЕЛЬ</v>
      </c>
    </row>
    <row r="45" spans="1:9" x14ac:dyDescent="0.25">
      <c r="A45" s="2">
        <v>234588</v>
      </c>
      <c r="B45" s="2" t="s">
        <v>81</v>
      </c>
      <c r="C45" s="2" t="s">
        <v>82</v>
      </c>
      <c r="D45" s="2" t="s">
        <v>26</v>
      </c>
      <c r="E45" s="2" t="str">
        <f>_xlfn.XLOOKUP(Table2[[#This Row],[ID]],Table1[ID],Table1[Канал продажу],"",0,1)</f>
        <v>Держ центральні</v>
      </c>
      <c r="F45" s="2">
        <f>_xlfn.XLOOKUP(Table2[[#This Row],[ID]],Table1[ID],Table1[Сума, євро],"",0,1)</f>
        <v>76.2</v>
      </c>
      <c r="G45" s="2" t="str">
        <f>_xlfn.XLOOKUP(Table2[[#This Row],[ID]],Table1[ID],Table1[Рік_місяць],"",0,1)</f>
        <v>2025.05</v>
      </c>
      <c r="H45" s="2" t="str">
        <f>_xlfn.XLOOKUP(Table2[[#This Row],[ID]],Table1[ID],Table1[Прайс],"",0,1)</f>
        <v>ClientDay</v>
      </c>
      <c r="I45" s="2" t="str">
        <f>_xlfn.XLOOKUP(Table2[[#This Row],[ID]],Table1[ID],Table1[Сегмент],"",0,1)</f>
        <v>ГОС ВЛАСТЬ</v>
      </c>
    </row>
    <row r="46" spans="1:9" x14ac:dyDescent="0.25">
      <c r="A46" s="2">
        <v>234589</v>
      </c>
      <c r="B46" s="2" t="s">
        <v>83</v>
      </c>
      <c r="C46" s="2" t="s">
        <v>84</v>
      </c>
      <c r="D46" s="2" t="s">
        <v>25</v>
      </c>
      <c r="E46" s="2" t="str">
        <f>_xlfn.XLOOKUP(Table2[[#This Row],[ID]],Table1[ID],Table1[Канал продажу],"",0,1)</f>
        <v>Держ регіональні</v>
      </c>
      <c r="F46" s="2">
        <f>_xlfn.XLOOKUP(Table2[[#This Row],[ID]],Table1[ID],Table1[Сума, євро],"",0,1)</f>
        <v>76.2</v>
      </c>
      <c r="G46" s="2" t="str">
        <f>_xlfn.XLOOKUP(Table2[[#This Row],[ID]],Table1[ID],Table1[Рік_місяць],"",0,1)</f>
        <v>2025.06</v>
      </c>
      <c r="H46" s="2" t="str">
        <f>_xlfn.XLOOKUP(Table2[[#This Row],[ID]],Table1[ID],Table1[Прайс],"",0,1)</f>
        <v>ClientDay</v>
      </c>
      <c r="I46" s="2" t="str">
        <f>_xlfn.XLOOKUP(Table2[[#This Row],[ID]],Table1[ID],Table1[Сегмент],"",0,1)</f>
        <v>ГОСПРЕДПРИЯТИЕ</v>
      </c>
    </row>
    <row r="47" spans="1:9" x14ac:dyDescent="0.25">
      <c r="A47" s="2">
        <v>234590</v>
      </c>
      <c r="B47" s="2" t="s">
        <v>85</v>
      </c>
      <c r="C47" s="2" t="s">
        <v>86</v>
      </c>
      <c r="D47" s="2" t="s">
        <v>26</v>
      </c>
      <c r="E47" s="2" t="str">
        <f>_xlfn.XLOOKUP(Table2[[#This Row],[ID]],Table1[ID],Table1[Канал продажу],"",0,1)</f>
        <v>Дилерська мережа</v>
      </c>
      <c r="F47" s="2">
        <f>_xlfn.XLOOKUP(Table2[[#This Row],[ID]],Table1[ID],Table1[Сума, євро],"",0,1)</f>
        <v>127</v>
      </c>
      <c r="G47" s="2" t="str">
        <f>_xlfn.XLOOKUP(Table2[[#This Row],[ID]],Table1[ID],Table1[Рік_місяць],"",0,1)</f>
        <v>2025.06</v>
      </c>
      <c r="H47" s="2" t="str">
        <f>_xlfn.XLOOKUP(Table2[[#This Row],[ID]],Table1[ID],Table1[Прайс],"",0,1)</f>
        <v>LIGA360</v>
      </c>
      <c r="I47" s="2" t="str">
        <f>_xlfn.XLOOKUP(Table2[[#This Row],[ID]],Table1[ID],Table1[Сегмент],"",0,1)</f>
        <v>МАЛЫЙ БИЗНЕС</v>
      </c>
    </row>
    <row r="48" spans="1:9" x14ac:dyDescent="0.25">
      <c r="A48" s="2">
        <v>234591</v>
      </c>
      <c r="B48" s="2" t="s">
        <v>87</v>
      </c>
      <c r="C48" s="2" t="s">
        <v>88</v>
      </c>
      <c r="D48" s="2" t="s">
        <v>27</v>
      </c>
      <c r="E48" s="2" t="str">
        <f>_xlfn.XLOOKUP(Table2[[#This Row],[ID]],Table1[ID],Table1[Канал продажу],"",0,1)</f>
        <v>Нові продажі</v>
      </c>
      <c r="F48" s="2">
        <f>_xlfn.XLOOKUP(Table2[[#This Row],[ID]],Table1[ID],Table1[Сума, євро],"",0,1)</f>
        <v>127</v>
      </c>
      <c r="G48" s="2" t="str">
        <f>_xlfn.XLOOKUP(Table2[[#This Row],[ID]],Table1[ID],Table1[Рік_місяць],"",0,1)</f>
        <v>2025.05</v>
      </c>
      <c r="H48" s="2" t="str">
        <f>_xlfn.XLOOKUP(Table2[[#This Row],[ID]],Table1[ID],Table1[Прайс],"",0,1)</f>
        <v>LIGA360</v>
      </c>
      <c r="I48" s="2" t="str">
        <f>_xlfn.XLOOKUP(Table2[[#This Row],[ID]],Table1[ID],Table1[Сегмент],"",0,1)</f>
        <v>СРЕДНИЙ БИЗНЕС</v>
      </c>
    </row>
    <row r="49" spans="1:9" x14ac:dyDescent="0.25">
      <c r="A49" s="2">
        <v>234592</v>
      </c>
      <c r="B49" s="2" t="s">
        <v>89</v>
      </c>
      <c r="C49" s="2" t="s">
        <v>90</v>
      </c>
      <c r="D49" s="2" t="s">
        <v>28</v>
      </c>
      <c r="E49" s="2" t="str">
        <f>_xlfn.XLOOKUP(Table2[[#This Row],[ID]],Table1[ID],Table1[Канал продажу],"",0,1)</f>
        <v>ЮрАудит бізнес</v>
      </c>
      <c r="F49" s="2">
        <f>_xlfn.XLOOKUP(Table2[[#This Row],[ID]],Table1[ID],Table1[Сума, євро],"",0,1)</f>
        <v>76.2</v>
      </c>
      <c r="G49" s="2" t="str">
        <f>_xlfn.XLOOKUP(Table2[[#This Row],[ID]],Table1[ID],Table1[Рік_місяць],"",0,1)</f>
        <v>2025.06</v>
      </c>
      <c r="H49" s="2" t="str">
        <f>_xlfn.XLOOKUP(Table2[[#This Row],[ID]],Table1[ID],Table1[Прайс],"",0,1)</f>
        <v>ClientDay</v>
      </c>
      <c r="I49" s="2" t="str">
        <f>_xlfn.XLOOKUP(Table2[[#This Row],[ID]],Table1[ID],Table1[Сегмент],"",0,1)</f>
        <v>МАЛЫЙ БУХ.-АУДИТ. БИЗНЕС</v>
      </c>
    </row>
    <row r="50" spans="1:9" x14ac:dyDescent="0.25">
      <c r="A50" s="2">
        <v>234593</v>
      </c>
      <c r="B50" s="2" t="s">
        <v>91</v>
      </c>
      <c r="C50" s="2" t="s">
        <v>92</v>
      </c>
      <c r="D50" s="2" t="s">
        <v>31</v>
      </c>
      <c r="E50" s="2" t="str">
        <f>_xlfn.XLOOKUP(Table2[[#This Row],[ID]],Table1[ID],Table1[Канал продажу],"",0,1)</f>
        <v>Дилерська мережа</v>
      </c>
      <c r="F50" s="2">
        <f>_xlfn.XLOOKUP(Table2[[#This Row],[ID]],Table1[ID],Table1[Сума, євро],"",0,1)</f>
        <v>127</v>
      </c>
      <c r="G50" s="2" t="str">
        <f>_xlfn.XLOOKUP(Table2[[#This Row],[ID]],Table1[ID],Table1[Рік_місяць],"",0,1)</f>
        <v>2025.05</v>
      </c>
      <c r="H50" s="2" t="str">
        <f>_xlfn.XLOOKUP(Table2[[#This Row],[ID]],Table1[ID],Table1[Прайс],"",0,1)</f>
        <v>LIGA360</v>
      </c>
      <c r="I50" s="2" t="str">
        <f>_xlfn.XLOOKUP(Table2[[#This Row],[ID]],Table1[ID],Table1[Сегмент],"",0,1)</f>
        <v>МАЛЫЙ БИЗНЕС</v>
      </c>
    </row>
    <row r="51" spans="1:9" x14ac:dyDescent="0.25">
      <c r="A51" s="2">
        <v>234594</v>
      </c>
      <c r="B51" s="2" t="s">
        <v>93</v>
      </c>
      <c r="C51" s="2" t="s">
        <v>94</v>
      </c>
      <c r="D51" s="2" t="s">
        <v>34</v>
      </c>
      <c r="E51" s="2" t="str">
        <f>_xlfn.XLOOKUP(Table2[[#This Row],[ID]],Table1[ID],Table1[Канал продажу],"",0,1)</f>
        <v>Держ центральні</v>
      </c>
      <c r="F51" s="2">
        <f>_xlfn.XLOOKUP(Table2[[#This Row],[ID]],Table1[ID],Table1[Сума, євро],"",0,1)</f>
        <v>76.2</v>
      </c>
      <c r="G51" s="2" t="str">
        <f>_xlfn.XLOOKUP(Table2[[#This Row],[ID]],Table1[ID],Table1[Рік_місяць],"",0,1)</f>
        <v>2025.06</v>
      </c>
      <c r="H51" s="2" t="str">
        <f>_xlfn.XLOOKUP(Table2[[#This Row],[ID]],Table1[ID],Table1[Прайс],"",0,1)</f>
        <v>ClientDay</v>
      </c>
      <c r="I51" s="2" t="str">
        <f>_xlfn.XLOOKUP(Table2[[#This Row],[ID]],Table1[ID],Table1[Сегмент],"",0,1)</f>
        <v>ГОС ВЛАСТЬ</v>
      </c>
    </row>
    <row r="52" spans="1:9" x14ac:dyDescent="0.25">
      <c r="A52" s="2">
        <v>234595</v>
      </c>
      <c r="B52" s="2" t="s">
        <v>95</v>
      </c>
      <c r="C52" s="2" t="s">
        <v>96</v>
      </c>
      <c r="D52" s="2" t="s">
        <v>40</v>
      </c>
      <c r="E52" s="2" t="str">
        <f>_xlfn.XLOOKUP(Table2[[#This Row],[ID]],Table1[ID],Table1[Канал продажу],"",0,1)</f>
        <v>Дилерська мережа</v>
      </c>
      <c r="F52" s="2">
        <f>_xlfn.XLOOKUP(Table2[[#This Row],[ID]],Table1[ID],Table1[Сума, євро],"",0,1)</f>
        <v>127</v>
      </c>
      <c r="G52" s="2" t="str">
        <f>_xlfn.XLOOKUP(Table2[[#This Row],[ID]],Table1[ID],Table1[Рік_місяць],"",0,1)</f>
        <v>2025.05</v>
      </c>
      <c r="H52" s="2" t="str">
        <f>_xlfn.XLOOKUP(Table2[[#This Row],[ID]],Table1[ID],Table1[Прайс],"",0,1)</f>
        <v>LIGA360</v>
      </c>
      <c r="I52" s="2" t="str">
        <f>_xlfn.XLOOKUP(Table2[[#This Row],[ID]],Table1[ID],Table1[Сегмент],"",0,1)</f>
        <v>ГОСПРЕДПРИЯТИЕ</v>
      </c>
    </row>
    <row r="53" spans="1:9" x14ac:dyDescent="0.25">
      <c r="A53" s="2">
        <v>234596</v>
      </c>
      <c r="B53" s="2" t="s">
        <v>97</v>
      </c>
      <c r="C53" s="2" t="s">
        <v>98</v>
      </c>
      <c r="D53" s="2" t="s">
        <v>38</v>
      </c>
      <c r="E53" s="2" t="str">
        <f>_xlfn.XLOOKUP(Table2[[#This Row],[ID]],Table1[ID],Table1[Канал продажу],"",0,1)</f>
        <v>Держ регіональні</v>
      </c>
      <c r="F53" s="2">
        <f>_xlfn.XLOOKUP(Table2[[#This Row],[ID]],Table1[ID],Table1[Сума, євро],"",0,1)</f>
        <v>76.2</v>
      </c>
      <c r="G53" s="2" t="str">
        <f>_xlfn.XLOOKUP(Table2[[#This Row],[ID]],Table1[ID],Table1[Рік_місяць],"",0,1)</f>
        <v>2025.06</v>
      </c>
      <c r="H53" s="2" t="str">
        <f>_xlfn.XLOOKUP(Table2[[#This Row],[ID]],Table1[ID],Table1[Прайс],"",0,1)</f>
        <v>ClientDay</v>
      </c>
      <c r="I53" s="2" t="str">
        <f>_xlfn.XLOOKUP(Table2[[#This Row],[ID]],Table1[ID],Table1[Сегмент],"",0,1)</f>
        <v>ГОС БЮДЖЕТ</v>
      </c>
    </row>
    <row r="54" spans="1:9" x14ac:dyDescent="0.25">
      <c r="A54" s="2">
        <v>234597</v>
      </c>
      <c r="B54" s="2" t="s">
        <v>99</v>
      </c>
      <c r="C54" s="2" t="s">
        <v>100</v>
      </c>
      <c r="D54" s="2" t="s">
        <v>38</v>
      </c>
      <c r="E54" s="2" t="str">
        <f>_xlfn.XLOOKUP(Table2[[#This Row],[ID]],Table1[ID],Table1[Канал продажу],"",0,1)</f>
        <v>Корп клієнти</v>
      </c>
      <c r="F54" s="2">
        <f>_xlfn.XLOOKUP(Table2[[#This Row],[ID]],Table1[ID],Table1[Сума, євро],"",0,1)</f>
        <v>127</v>
      </c>
      <c r="G54" s="2" t="str">
        <f>_xlfn.XLOOKUP(Table2[[#This Row],[ID]],Table1[ID],Table1[Рік_місяць],"",0,1)</f>
        <v>2025.06</v>
      </c>
      <c r="H54" s="2" t="str">
        <f>_xlfn.XLOOKUP(Table2[[#This Row],[ID]],Table1[ID],Table1[Прайс],"",0,1)</f>
        <v>LIGA360</v>
      </c>
      <c r="I54" s="2" t="str">
        <f>_xlfn.XLOOKUP(Table2[[#This Row],[ID]],Table1[ID],Table1[Сегмент],"",0,1)</f>
        <v>КРУПНЫЙ БИЗНЕС</v>
      </c>
    </row>
    <row r="55" spans="1:9" x14ac:dyDescent="0.25">
      <c r="A55" s="2">
        <v>234598</v>
      </c>
      <c r="B55" s="2" t="s">
        <v>101</v>
      </c>
      <c r="C55" s="2" t="s">
        <v>102</v>
      </c>
      <c r="D55" s="2" t="s">
        <v>40</v>
      </c>
      <c r="E55" s="2" t="str">
        <f>_xlfn.XLOOKUP(Table2[[#This Row],[ID]],Table1[ID],Table1[Канал продажу],"",0,1)</f>
        <v>Нові продажі</v>
      </c>
      <c r="F55" s="2">
        <f>_xlfn.XLOOKUP(Table2[[#This Row],[ID]],Table1[ID],Table1[Сума, євро],"",0,1)</f>
        <v>76.2</v>
      </c>
      <c r="G55" s="2" t="str">
        <f>_xlfn.XLOOKUP(Table2[[#This Row],[ID]],Table1[ID],Table1[Рік_місяць],"",0,1)</f>
        <v>2025.05</v>
      </c>
      <c r="H55" s="2" t="str">
        <f>_xlfn.XLOOKUP(Table2[[#This Row],[ID]],Table1[ID],Table1[Прайс],"",0,1)</f>
        <v>ClientDay</v>
      </c>
      <c r="I55" s="2" t="str">
        <f>_xlfn.XLOOKUP(Table2[[#This Row],[ID]],Table1[ID],Table1[Сегмент],"",0,1)</f>
        <v>МАЛЫЙ ЮР. БИЗНЕС</v>
      </c>
    </row>
    <row r="56" spans="1:9" x14ac:dyDescent="0.25">
      <c r="A56" s="2">
        <v>234599</v>
      </c>
      <c r="B56" s="2" t="s">
        <v>103</v>
      </c>
      <c r="C56" s="2" t="s">
        <v>104</v>
      </c>
      <c r="D56" s="2" t="s">
        <v>38</v>
      </c>
      <c r="E56" s="2" t="str">
        <f>_xlfn.XLOOKUP(Table2[[#This Row],[ID]],Table1[ID],Table1[Канал продажу],"",0,1)</f>
        <v>ЮрАудит бізнес</v>
      </c>
      <c r="F56" s="2">
        <f>_xlfn.XLOOKUP(Table2[[#This Row],[ID]],Table1[ID],Table1[Сума, євро],"",0,1)</f>
        <v>76.2</v>
      </c>
      <c r="G56" s="2" t="str">
        <f>_xlfn.XLOOKUP(Table2[[#This Row],[ID]],Table1[ID],Table1[Рік_місяць],"",0,1)</f>
        <v>2025.06</v>
      </c>
      <c r="H56" s="2" t="str">
        <f>_xlfn.XLOOKUP(Table2[[#This Row],[ID]],Table1[ID],Table1[Прайс],"",0,1)</f>
        <v>ClientDay</v>
      </c>
      <c r="I56" s="2" t="str">
        <f>_xlfn.XLOOKUP(Table2[[#This Row],[ID]],Table1[ID],Table1[Сегмент],"",0,1)</f>
        <v>ФИЗ.ЛИЦО-ПРЕДПРИНИМАТЕЛЬ</v>
      </c>
    </row>
    <row r="57" spans="1:9" x14ac:dyDescent="0.25">
      <c r="A57" s="2">
        <v>234600</v>
      </c>
      <c r="B57" s="2" t="s">
        <v>105</v>
      </c>
      <c r="C57" s="2" t="s">
        <v>106</v>
      </c>
      <c r="D57" s="2" t="s">
        <v>26</v>
      </c>
      <c r="E57" s="2" t="str">
        <f>_xlfn.XLOOKUP(Table2[[#This Row],[ID]],Table1[ID],Table1[Канал продажу],"",0,1)</f>
        <v>Дилерська мережа</v>
      </c>
      <c r="F57" s="2">
        <f>_xlfn.XLOOKUP(Table2[[#This Row],[ID]],Table1[ID],Table1[Сума, євро],"",0,1)</f>
        <v>76.2</v>
      </c>
      <c r="G57" s="2" t="str">
        <f>_xlfn.XLOOKUP(Table2[[#This Row],[ID]],Table1[ID],Table1[Рік_місяць],"",0,1)</f>
        <v>2025.05</v>
      </c>
      <c r="H57" s="2" t="str">
        <f>_xlfn.XLOOKUP(Table2[[#This Row],[ID]],Table1[ID],Table1[Прайс],"",0,1)</f>
        <v>ClientDay</v>
      </c>
      <c r="I57" s="2" t="str">
        <f>_xlfn.XLOOKUP(Table2[[#This Row],[ID]],Table1[ID],Table1[Сегмент],"",0,1)</f>
        <v>МАЛЫЙ БИЗНЕС</v>
      </c>
    </row>
    <row r="58" spans="1:9" x14ac:dyDescent="0.25">
      <c r="A58" s="2">
        <v>234601</v>
      </c>
      <c r="B58" s="2" t="s">
        <v>107</v>
      </c>
      <c r="C58" s="2" t="s">
        <v>108</v>
      </c>
      <c r="D58" s="2" t="s">
        <v>25</v>
      </c>
      <c r="E58" s="2" t="str">
        <f>_xlfn.XLOOKUP(Table2[[#This Row],[ID]],Table1[ID],Table1[Канал продажу],"",0,1)</f>
        <v>Держ центральні</v>
      </c>
      <c r="F58" s="2">
        <f>_xlfn.XLOOKUP(Table2[[#This Row],[ID]],Table1[ID],Table1[Сума, євро],"",0,1)</f>
        <v>76.2</v>
      </c>
      <c r="G58" s="2" t="str">
        <f>_xlfn.XLOOKUP(Table2[[#This Row],[ID]],Table1[ID],Table1[Рік_місяць],"",0,1)</f>
        <v>2025.06</v>
      </c>
      <c r="H58" s="2" t="str">
        <f>_xlfn.XLOOKUP(Table2[[#This Row],[ID]],Table1[ID],Table1[Прайс],"",0,1)</f>
        <v>ClientDay</v>
      </c>
      <c r="I58" s="2" t="str">
        <f>_xlfn.XLOOKUP(Table2[[#This Row],[ID]],Table1[ID],Table1[Сегмент],"",0,1)</f>
        <v>ГОСПРЕДПРИЯТИЕ</v>
      </c>
    </row>
    <row r="59" spans="1:9" x14ac:dyDescent="0.25">
      <c r="A59" s="2">
        <v>234602</v>
      </c>
      <c r="B59" s="2" t="s">
        <v>109</v>
      </c>
      <c r="C59" s="2" t="s">
        <v>110</v>
      </c>
      <c r="D59" s="2" t="s">
        <v>26</v>
      </c>
      <c r="E59" s="2" t="str">
        <f>_xlfn.XLOOKUP(Table2[[#This Row],[ID]],Table1[ID],Table1[Канал продажу],"",0,1)</f>
        <v>Держ центральні</v>
      </c>
      <c r="F59" s="2">
        <f>_xlfn.XLOOKUP(Table2[[#This Row],[ID]],Table1[ID],Table1[Сума, євро],"",0,1)</f>
        <v>76.2</v>
      </c>
      <c r="G59" s="2" t="str">
        <f>_xlfn.XLOOKUP(Table2[[#This Row],[ID]],Table1[ID],Table1[Рік_місяць],"",0,1)</f>
        <v>2025.05</v>
      </c>
      <c r="H59" s="2" t="str">
        <f>_xlfn.XLOOKUP(Table2[[#This Row],[ID]],Table1[ID],Table1[Прайс],"",0,1)</f>
        <v>ClientDay</v>
      </c>
      <c r="I59" s="2" t="str">
        <f>_xlfn.XLOOKUP(Table2[[#This Row],[ID]],Table1[ID],Table1[Сегмент],"",0,1)</f>
        <v>ГОСПРЕДПРИЯТИЕ</v>
      </c>
    </row>
    <row r="60" spans="1:9" x14ac:dyDescent="0.25">
      <c r="A60" s="2">
        <v>234603</v>
      </c>
      <c r="B60" s="2" t="s">
        <v>111</v>
      </c>
      <c r="C60" s="2" t="s">
        <v>112</v>
      </c>
      <c r="D60" s="2" t="s">
        <v>27</v>
      </c>
      <c r="E60" s="2" t="str">
        <f>_xlfn.XLOOKUP(Table2[[#This Row],[ID]],Table1[ID],Table1[Канал продажу],"",0,1)</f>
        <v>Держ регіональні</v>
      </c>
      <c r="F60" s="2">
        <f>_xlfn.XLOOKUP(Table2[[#This Row],[ID]],Table1[ID],Table1[Сума, євро],"",0,1)</f>
        <v>127</v>
      </c>
      <c r="G60" s="2" t="str">
        <f>_xlfn.XLOOKUP(Table2[[#This Row],[ID]],Table1[ID],Table1[Рік_місяць],"",0,1)</f>
        <v>2025.06</v>
      </c>
      <c r="H60" s="2" t="str">
        <f>_xlfn.XLOOKUP(Table2[[#This Row],[ID]],Table1[ID],Table1[Прайс],"",0,1)</f>
        <v>LIGA360</v>
      </c>
      <c r="I60" s="2" t="str">
        <f>_xlfn.XLOOKUP(Table2[[#This Row],[ID]],Table1[ID],Table1[Сегмент],"",0,1)</f>
        <v>ГОСПРЕДПРИЯТИЕ</v>
      </c>
    </row>
    <row r="61" spans="1:9" x14ac:dyDescent="0.25">
      <c r="A61" s="2">
        <v>234604</v>
      </c>
      <c r="B61" s="2" t="s">
        <v>113</v>
      </c>
      <c r="C61" s="2" t="s">
        <v>114</v>
      </c>
      <c r="D61" s="2" t="s">
        <v>28</v>
      </c>
      <c r="E61" s="2" t="str">
        <f>_xlfn.XLOOKUP(Table2[[#This Row],[ID]],Table1[ID],Table1[Канал продажу],"",0,1)</f>
        <v>Дилерська мережа</v>
      </c>
      <c r="F61" s="2">
        <f>_xlfn.XLOOKUP(Table2[[#This Row],[ID]],Table1[ID],Table1[Сума, євро],"",0,1)</f>
        <v>127</v>
      </c>
      <c r="G61" s="2" t="str">
        <f>_xlfn.XLOOKUP(Table2[[#This Row],[ID]],Table1[ID],Table1[Рік_місяць],"",0,1)</f>
        <v>2025.06</v>
      </c>
      <c r="H61" s="2" t="str">
        <f>_xlfn.XLOOKUP(Table2[[#This Row],[ID]],Table1[ID],Table1[Прайс],"",0,1)</f>
        <v>LIGA360</v>
      </c>
      <c r="I61" s="2" t="str">
        <f>_xlfn.XLOOKUP(Table2[[#This Row],[ID]],Table1[ID],Table1[Сегмент],"",0,1)</f>
        <v>МАЛЫЙ БИЗНЕС</v>
      </c>
    </row>
    <row r="62" spans="1:9" x14ac:dyDescent="0.25">
      <c r="A62" s="2">
        <v>234605</v>
      </c>
      <c r="B62" s="2" t="s">
        <v>115</v>
      </c>
      <c r="C62" s="2" t="s">
        <v>116</v>
      </c>
      <c r="D62" s="2" t="s">
        <v>31</v>
      </c>
      <c r="E62" s="2" t="str">
        <f>_xlfn.XLOOKUP(Table2[[#This Row],[ID]],Table1[ID],Table1[Канал продажу],"",0,1)</f>
        <v>Нові продажі</v>
      </c>
      <c r="F62" s="2">
        <f>_xlfn.XLOOKUP(Table2[[#This Row],[ID]],Table1[ID],Table1[Сума, євро],"",0,1)</f>
        <v>127</v>
      </c>
      <c r="G62" s="2" t="str">
        <f>_xlfn.XLOOKUP(Table2[[#This Row],[ID]],Table1[ID],Table1[Рік_місяць],"",0,1)</f>
        <v>2025.05</v>
      </c>
      <c r="H62" s="2" t="str">
        <f>_xlfn.XLOOKUP(Table2[[#This Row],[ID]],Table1[ID],Table1[Прайс],"",0,1)</f>
        <v>LIGA360</v>
      </c>
      <c r="I62" s="2" t="str">
        <f>_xlfn.XLOOKUP(Table2[[#This Row],[ID]],Table1[ID],Table1[Сегмент],"",0,1)</f>
        <v>СРЕДНИЙ БИЗНЕС</v>
      </c>
    </row>
    <row r="63" spans="1:9" x14ac:dyDescent="0.25">
      <c r="A63" s="2">
        <v>234606</v>
      </c>
      <c r="B63" s="2" t="s">
        <v>117</v>
      </c>
      <c r="C63" s="2" t="s">
        <v>118</v>
      </c>
      <c r="D63" s="2" t="s">
        <v>25</v>
      </c>
      <c r="E63" s="2" t="str">
        <f>_xlfn.XLOOKUP(Table2[[#This Row],[ID]],Table1[ID],Table1[Канал продажу],"",0,1)</f>
        <v>Дилерська мережа</v>
      </c>
      <c r="F63" s="2">
        <f>_xlfn.XLOOKUP(Table2[[#This Row],[ID]],Table1[ID],Table1[Сума, євро],"",0,1)</f>
        <v>127</v>
      </c>
      <c r="G63" s="2" t="str">
        <f>_xlfn.XLOOKUP(Table2[[#This Row],[ID]],Table1[ID],Table1[Рік_місяць],"",0,1)</f>
        <v>2025.06</v>
      </c>
      <c r="H63" s="2" t="str">
        <f>_xlfn.XLOOKUP(Table2[[#This Row],[ID]],Table1[ID],Table1[Прайс],"",0,1)</f>
        <v>LIGA360</v>
      </c>
      <c r="I63" s="2" t="str">
        <f>_xlfn.XLOOKUP(Table2[[#This Row],[ID]],Table1[ID],Table1[Сегмент],"",0,1)</f>
        <v>МАЛЫЙ БИЗНЕС</v>
      </c>
    </row>
    <row r="64" spans="1:9" x14ac:dyDescent="0.25">
      <c r="A64" s="2">
        <v>234607</v>
      </c>
      <c r="B64" s="2" t="s">
        <v>119</v>
      </c>
      <c r="C64" s="2" t="s">
        <v>120</v>
      </c>
      <c r="D64" s="2" t="s">
        <v>26</v>
      </c>
      <c r="E64" s="2" t="str">
        <f>_xlfn.XLOOKUP(Table2[[#This Row],[ID]],Table1[ID],Table1[Канал продажу],"",0,1)</f>
        <v>Дилерська мережа</v>
      </c>
      <c r="F64" s="2">
        <f>_xlfn.XLOOKUP(Table2[[#This Row],[ID]],Table1[ID],Table1[Сума, євро],"",0,1)</f>
        <v>127</v>
      </c>
      <c r="G64" s="2" t="str">
        <f>_xlfn.XLOOKUP(Table2[[#This Row],[ID]],Table1[ID],Table1[Рік_місяць],"",0,1)</f>
        <v>2025.05</v>
      </c>
      <c r="H64" s="2" t="str">
        <f>_xlfn.XLOOKUP(Table2[[#This Row],[ID]],Table1[ID],Table1[Прайс],"",0,1)</f>
        <v>LIGA360</v>
      </c>
      <c r="I64" s="2" t="str">
        <f>_xlfn.XLOOKUP(Table2[[#This Row],[ID]],Table1[ID],Table1[Сегмент],"",0,1)</f>
        <v>МАЛЫЙ БИЗНЕС</v>
      </c>
    </row>
    <row r="65" spans="1:9" x14ac:dyDescent="0.25">
      <c r="A65" s="2">
        <v>234608</v>
      </c>
      <c r="B65" s="2" t="s">
        <v>121</v>
      </c>
      <c r="C65" s="2" t="s">
        <v>122</v>
      </c>
      <c r="D65" s="2" t="s">
        <v>27</v>
      </c>
      <c r="E65" s="2" t="str">
        <f>_xlfn.XLOOKUP(Table2[[#This Row],[ID]],Table1[ID],Table1[Канал продажу],"",0,1)</f>
        <v>Дилерська мережа</v>
      </c>
      <c r="F65" s="2">
        <f>_xlfn.XLOOKUP(Table2[[#This Row],[ID]],Table1[ID],Table1[Сума, євро],"",0,1)</f>
        <v>127</v>
      </c>
      <c r="G65" s="2" t="str">
        <f>_xlfn.XLOOKUP(Table2[[#This Row],[ID]],Table1[ID],Table1[Рік_місяць],"",0,1)</f>
        <v>2025.06</v>
      </c>
      <c r="H65" s="2" t="str">
        <f>_xlfn.XLOOKUP(Table2[[#This Row],[ID]],Table1[ID],Table1[Прайс],"",0,1)</f>
        <v>LIGA360</v>
      </c>
      <c r="I65" s="2" t="str">
        <f>_xlfn.XLOOKUP(Table2[[#This Row],[ID]],Table1[ID],Table1[Сегмент],"",0,1)</f>
        <v>МАЛЫЙ БИЗНЕС</v>
      </c>
    </row>
    <row r="66" spans="1:9" x14ac:dyDescent="0.25">
      <c r="A66" s="2">
        <v>234609</v>
      </c>
      <c r="B66" s="2" t="s">
        <v>123</v>
      </c>
      <c r="C66" s="2" t="s">
        <v>124</v>
      </c>
      <c r="D66" s="2" t="s">
        <v>28</v>
      </c>
      <c r="E66" s="2" t="str">
        <f>_xlfn.XLOOKUP(Table2[[#This Row],[ID]],Table1[ID],Table1[Канал продажу],"",0,1)</f>
        <v>Дилерська мережа</v>
      </c>
      <c r="F66" s="2">
        <f>_xlfn.XLOOKUP(Table2[[#This Row],[ID]],Table1[ID],Table1[Сума, євро],"",0,1)</f>
        <v>76.2</v>
      </c>
      <c r="G66" s="2" t="str">
        <f>_xlfn.XLOOKUP(Table2[[#This Row],[ID]],Table1[ID],Table1[Рік_місяць],"",0,1)</f>
        <v>2025.05</v>
      </c>
      <c r="H66" s="2" t="str">
        <f>_xlfn.XLOOKUP(Table2[[#This Row],[ID]],Table1[ID],Table1[Прайс],"",0,1)</f>
        <v>ClientDay</v>
      </c>
      <c r="I66" s="2" t="str">
        <f>_xlfn.XLOOKUP(Table2[[#This Row],[ID]],Table1[ID],Table1[Сегмент],"",0,1)</f>
        <v>МАЛЫЙ БУХ.-АУДИТ. БИЗНЕС</v>
      </c>
    </row>
    <row r="67" spans="1:9" x14ac:dyDescent="0.25">
      <c r="A67" s="2">
        <v>234610</v>
      </c>
      <c r="B67" s="2" t="s">
        <v>125</v>
      </c>
      <c r="C67" s="2" t="s">
        <v>126</v>
      </c>
      <c r="D67" s="2" t="s">
        <v>31</v>
      </c>
      <c r="E67" s="2" t="str">
        <f>_xlfn.XLOOKUP(Table2[[#This Row],[ID]],Table1[ID],Table1[Канал продажу],"",0,1)</f>
        <v>Держ регіональні</v>
      </c>
      <c r="F67" s="2">
        <f>_xlfn.XLOOKUP(Table2[[#This Row],[ID]],Table1[ID],Table1[Сума, євро],"",0,1)</f>
        <v>76.2</v>
      </c>
      <c r="G67" s="2" t="str">
        <f>_xlfn.XLOOKUP(Table2[[#This Row],[ID]],Table1[ID],Table1[Рік_місяць],"",0,1)</f>
        <v>2025.06</v>
      </c>
      <c r="H67" s="2" t="str">
        <f>_xlfn.XLOOKUP(Table2[[#This Row],[ID]],Table1[ID],Table1[Прайс],"",0,1)</f>
        <v>ClientDay</v>
      </c>
      <c r="I67" s="2" t="str">
        <f>_xlfn.XLOOKUP(Table2[[#This Row],[ID]],Table1[ID],Table1[Сегмент],"",0,1)</f>
        <v>ГОС БЮДЖЕТ</v>
      </c>
    </row>
    <row r="68" spans="1:9" x14ac:dyDescent="0.25">
      <c r="A68" s="2">
        <v>234611</v>
      </c>
      <c r="B68" s="2" t="s">
        <v>127</v>
      </c>
      <c r="C68" s="2" t="s">
        <v>128</v>
      </c>
      <c r="D68" s="2" t="s">
        <v>25</v>
      </c>
      <c r="E68" s="2" t="str">
        <f>_xlfn.XLOOKUP(Table2[[#This Row],[ID]],Table1[ID],Table1[Канал продажу],"",0,1)</f>
        <v>Корп клієнти</v>
      </c>
      <c r="F68" s="2">
        <f>_xlfn.XLOOKUP(Table2[[#This Row],[ID]],Table1[ID],Table1[Сума, євро],"",0,1)</f>
        <v>76.2</v>
      </c>
      <c r="G68" s="2" t="str">
        <f>_xlfn.XLOOKUP(Table2[[#This Row],[ID]],Table1[ID],Table1[Рік_місяць],"",0,1)</f>
        <v>2025.06</v>
      </c>
      <c r="H68" s="2" t="str">
        <f>_xlfn.XLOOKUP(Table2[[#This Row],[ID]],Table1[ID],Table1[Прайс],"",0,1)</f>
        <v>ClientDay</v>
      </c>
      <c r="I68" s="2" t="str">
        <f>_xlfn.XLOOKUP(Table2[[#This Row],[ID]],Table1[ID],Table1[Сегмент],"",0,1)</f>
        <v>СРЕДНИЙ БИЗНЕС</v>
      </c>
    </row>
    <row r="69" spans="1:9" x14ac:dyDescent="0.25">
      <c r="A69" s="2">
        <v>234612</v>
      </c>
      <c r="B69" s="2" t="s">
        <v>129</v>
      </c>
      <c r="C69" s="2" t="s">
        <v>130</v>
      </c>
      <c r="D69" s="2" t="s">
        <v>26</v>
      </c>
      <c r="E69" s="2" t="str">
        <f>_xlfn.XLOOKUP(Table2[[#This Row],[ID]],Table1[ID],Table1[Канал продажу],"",0,1)</f>
        <v>Нові продажі</v>
      </c>
      <c r="F69" s="2">
        <f>_xlfn.XLOOKUP(Table2[[#This Row],[ID]],Table1[ID],Table1[Сума, євро],"",0,1)</f>
        <v>76.2</v>
      </c>
      <c r="G69" s="2" t="str">
        <f>_xlfn.XLOOKUP(Table2[[#This Row],[ID]],Table1[ID],Table1[Рік_місяць],"",0,1)</f>
        <v>2025.05</v>
      </c>
      <c r="H69" s="2" t="str">
        <f>_xlfn.XLOOKUP(Table2[[#This Row],[ID]],Table1[ID],Table1[Прайс],"",0,1)</f>
        <v>ClientDay</v>
      </c>
      <c r="I69" s="2" t="str">
        <f>_xlfn.XLOOKUP(Table2[[#This Row],[ID]],Table1[ID],Table1[Сегмент],"",0,1)</f>
        <v>МАЛЫЙ БИЗНЕС</v>
      </c>
    </row>
    <row r="70" spans="1:9" x14ac:dyDescent="0.25">
      <c r="A70" s="2">
        <v>234613</v>
      </c>
      <c r="B70" s="2" t="s">
        <v>131</v>
      </c>
      <c r="C70" s="2" t="s">
        <v>132</v>
      </c>
      <c r="D70" s="2" t="s">
        <v>27</v>
      </c>
      <c r="E70" s="2" t="str">
        <f>_xlfn.XLOOKUP(Table2[[#This Row],[ID]],Table1[ID],Table1[Канал продажу],"",0,1)</f>
        <v>ЮрАудит бізнес</v>
      </c>
      <c r="F70" s="2">
        <f>_xlfn.XLOOKUP(Table2[[#This Row],[ID]],Table1[ID],Table1[Сума, євро],"",0,1)</f>
        <v>76.2</v>
      </c>
      <c r="G70" s="2" t="str">
        <f>_xlfn.XLOOKUP(Table2[[#This Row],[ID]],Table1[ID],Table1[Рік_місяць],"",0,1)</f>
        <v>2025.06</v>
      </c>
      <c r="H70" s="2" t="str">
        <f>_xlfn.XLOOKUP(Table2[[#This Row],[ID]],Table1[ID],Table1[Прайс],"",0,1)</f>
        <v>ClientDay</v>
      </c>
      <c r="I70" s="2" t="str">
        <f>_xlfn.XLOOKUP(Table2[[#This Row],[ID]],Table1[ID],Table1[Сегмент],"",0,1)</f>
        <v>МАЛЫЙ БИЗНЕС</v>
      </c>
    </row>
    <row r="71" spans="1:9" x14ac:dyDescent="0.25">
      <c r="A71" s="2">
        <v>234614</v>
      </c>
      <c r="B71" s="2" t="s">
        <v>133</v>
      </c>
      <c r="C71" s="2" t="s">
        <v>134</v>
      </c>
      <c r="D71" s="2" t="s">
        <v>28</v>
      </c>
      <c r="E71" s="2" t="str">
        <f>_xlfn.XLOOKUP(Table2[[#This Row],[ID]],Table1[ID],Table1[Канал продажу],"",0,1)</f>
        <v>Дилерська мережа</v>
      </c>
      <c r="F71" s="2">
        <f>_xlfn.XLOOKUP(Table2[[#This Row],[ID]],Table1[ID],Table1[Сума, євро],"",0,1)</f>
        <v>76.2</v>
      </c>
      <c r="G71" s="2" t="str">
        <f>_xlfn.XLOOKUP(Table2[[#This Row],[ID]],Table1[ID],Table1[Рік_місяць],"",0,1)</f>
        <v>2025.05</v>
      </c>
      <c r="H71" s="2" t="str">
        <f>_xlfn.XLOOKUP(Table2[[#This Row],[ID]],Table1[ID],Table1[Прайс],"",0,1)</f>
        <v>ClientDay</v>
      </c>
      <c r="I71" s="2" t="str">
        <f>_xlfn.XLOOKUP(Table2[[#This Row],[ID]],Table1[ID],Table1[Сегмент],"",0,1)</f>
        <v>МАЛЫЙ БИЗНЕС</v>
      </c>
    </row>
    <row r="72" spans="1:9" x14ac:dyDescent="0.25">
      <c r="A72" s="2">
        <v>234615</v>
      </c>
      <c r="B72" s="2" t="s">
        <v>135</v>
      </c>
      <c r="C72" s="2" t="s">
        <v>136</v>
      </c>
      <c r="D72" s="2" t="s">
        <v>31</v>
      </c>
      <c r="E72" s="2" t="str">
        <f>_xlfn.XLOOKUP(Table2[[#This Row],[ID]],Table1[ID],Table1[Канал продажу],"",0,1)</f>
        <v>Держ центральні</v>
      </c>
      <c r="F72" s="2">
        <f>_xlfn.XLOOKUP(Table2[[#This Row],[ID]],Table1[ID],Table1[Сума, євро],"",0,1)</f>
        <v>76.2</v>
      </c>
      <c r="G72" s="2" t="str">
        <f>_xlfn.XLOOKUP(Table2[[#This Row],[ID]],Table1[ID],Table1[Рік_місяць],"",0,1)</f>
        <v>2025.06</v>
      </c>
      <c r="H72" s="2" t="str">
        <f>_xlfn.XLOOKUP(Table2[[#This Row],[ID]],Table1[ID],Table1[Прайс],"",0,1)</f>
        <v>ClientDay</v>
      </c>
      <c r="I72" s="2" t="str">
        <f>_xlfn.XLOOKUP(Table2[[#This Row],[ID]],Table1[ID],Table1[Сегмент],"",0,1)</f>
        <v>ГОС ВЛАСТЬ</v>
      </c>
    </row>
    <row r="73" spans="1:9" x14ac:dyDescent="0.25">
      <c r="A73" s="2">
        <v>234616</v>
      </c>
      <c r="B73" s="2" t="s">
        <v>137</v>
      </c>
      <c r="C73" s="2" t="s">
        <v>138</v>
      </c>
      <c r="D73" s="2" t="s">
        <v>25</v>
      </c>
      <c r="E73" s="2" t="str">
        <f>_xlfn.XLOOKUP(Table2[[#This Row],[ID]],Table1[ID],Table1[Канал продажу],"",0,1)</f>
        <v>Держ центральні</v>
      </c>
      <c r="F73" s="2">
        <f>_xlfn.XLOOKUP(Table2[[#This Row],[ID]],Table1[ID],Table1[Сума, євро],"",0,1)</f>
        <v>76.2</v>
      </c>
      <c r="G73" s="2" t="str">
        <f>_xlfn.XLOOKUP(Table2[[#This Row],[ID]],Table1[ID],Table1[Рік_місяць],"",0,1)</f>
        <v>2025.05</v>
      </c>
      <c r="H73" s="2" t="str">
        <f>_xlfn.XLOOKUP(Table2[[#This Row],[ID]],Table1[ID],Table1[Прайс],"",0,1)</f>
        <v>ClientDay</v>
      </c>
      <c r="I73" s="2" t="str">
        <f>_xlfn.XLOOKUP(Table2[[#This Row],[ID]],Table1[ID],Table1[Сегмент],"",0,1)</f>
        <v>ГОСПРЕДПРИЯТИЕ</v>
      </c>
    </row>
    <row r="74" spans="1:9" x14ac:dyDescent="0.25">
      <c r="A74" s="2">
        <v>234617</v>
      </c>
      <c r="B74" s="2" t="s">
        <v>139</v>
      </c>
      <c r="C74" s="2" t="s">
        <v>140</v>
      </c>
      <c r="D74" s="2" t="s">
        <v>26</v>
      </c>
      <c r="E74" s="2" t="str">
        <f>_xlfn.XLOOKUP(Table2[[#This Row],[ID]],Table1[ID],Table1[Канал продажу],"",0,1)</f>
        <v>Держ регіональні</v>
      </c>
      <c r="F74" s="2">
        <f>_xlfn.XLOOKUP(Table2[[#This Row],[ID]],Table1[ID],Table1[Сума, євро],"",0,1)</f>
        <v>76.2</v>
      </c>
      <c r="G74" s="2" t="str">
        <f>_xlfn.XLOOKUP(Table2[[#This Row],[ID]],Table1[ID],Table1[Рік_місяць],"",0,1)</f>
        <v>2025.06</v>
      </c>
      <c r="H74" s="2" t="str">
        <f>_xlfn.XLOOKUP(Table2[[#This Row],[ID]],Table1[ID],Table1[Прайс],"",0,1)</f>
        <v>ClientDay</v>
      </c>
      <c r="I74" s="2" t="str">
        <f>_xlfn.XLOOKUP(Table2[[#This Row],[ID]],Table1[ID],Table1[Сегмент],"",0,1)</f>
        <v>ГОСПРЕДПРИЯТИЕ</v>
      </c>
    </row>
    <row r="75" spans="1:9" x14ac:dyDescent="0.25">
      <c r="A75" s="2">
        <v>234618</v>
      </c>
      <c r="B75" s="2" t="s">
        <v>141</v>
      </c>
      <c r="C75" s="2" t="s">
        <v>142</v>
      </c>
      <c r="D75" s="2" t="s">
        <v>27</v>
      </c>
      <c r="E75" s="2" t="str">
        <f>_xlfn.XLOOKUP(Table2[[#This Row],[ID]],Table1[ID],Table1[Канал продажу],"",0,1)</f>
        <v>Корп клієнти</v>
      </c>
      <c r="F75" s="2">
        <f>_xlfn.XLOOKUP(Table2[[#This Row],[ID]],Table1[ID],Table1[Сума, євро],"",0,1)</f>
        <v>76.2</v>
      </c>
      <c r="G75" s="2" t="str">
        <f>_xlfn.XLOOKUP(Table2[[#This Row],[ID]],Table1[ID],Table1[Рік_місяць],"",0,1)</f>
        <v>2025.06</v>
      </c>
      <c r="H75" s="2" t="str">
        <f>_xlfn.XLOOKUP(Table2[[#This Row],[ID]],Table1[ID],Table1[Прайс],"",0,1)</f>
        <v>ClientDay</v>
      </c>
      <c r="I75" s="2" t="str">
        <f>_xlfn.XLOOKUP(Table2[[#This Row],[ID]],Table1[ID],Table1[Сегмент],"",0,1)</f>
        <v>СРЕДНИЙ БИЗНЕС</v>
      </c>
    </row>
    <row r="76" spans="1:9" x14ac:dyDescent="0.25">
      <c r="A76" s="2">
        <v>234619</v>
      </c>
      <c r="B76" s="2" t="s">
        <v>143</v>
      </c>
      <c r="C76" s="2" t="s">
        <v>144</v>
      </c>
      <c r="D76" s="2" t="s">
        <v>28</v>
      </c>
      <c r="E76" s="2" t="str">
        <f>_xlfn.XLOOKUP(Table2[[#This Row],[ID]],Table1[ID],Table1[Канал продажу],"",0,1)</f>
        <v>Нові продажі</v>
      </c>
      <c r="F76" s="2">
        <f>_xlfn.XLOOKUP(Table2[[#This Row],[ID]],Table1[ID],Table1[Сума, євро],"",0,1)</f>
        <v>127</v>
      </c>
      <c r="G76" s="2" t="str">
        <f>_xlfn.XLOOKUP(Table2[[#This Row],[ID]],Table1[ID],Table1[Рік_місяць],"",0,1)</f>
        <v>2025.05</v>
      </c>
      <c r="H76" s="2" t="str">
        <f>_xlfn.XLOOKUP(Table2[[#This Row],[ID]],Table1[ID],Table1[Прайс],"",0,1)</f>
        <v>LIGA360</v>
      </c>
      <c r="I76" s="2" t="str">
        <f>_xlfn.XLOOKUP(Table2[[#This Row],[ID]],Table1[ID],Table1[Сегмент],"",0,1)</f>
        <v>МАЛЫЙ БИЗНЕС</v>
      </c>
    </row>
    <row r="77" spans="1:9" x14ac:dyDescent="0.25">
      <c r="A77" s="2">
        <v>234620</v>
      </c>
      <c r="B77" s="2" t="s">
        <v>145</v>
      </c>
      <c r="C77" s="2" t="s">
        <v>146</v>
      </c>
      <c r="D77" s="2" t="s">
        <v>31</v>
      </c>
      <c r="E77" s="2" t="str">
        <f>_xlfn.XLOOKUP(Table2[[#This Row],[ID]],Table1[ID],Table1[Канал продажу],"",0,1)</f>
        <v>ЮрАудит бізнес</v>
      </c>
      <c r="F77" s="2">
        <f>_xlfn.XLOOKUP(Table2[[#This Row],[ID]],Table1[ID],Table1[Сума, євро],"",0,1)</f>
        <v>127</v>
      </c>
      <c r="G77" s="2" t="str">
        <f>_xlfn.XLOOKUP(Table2[[#This Row],[ID]],Table1[ID],Table1[Рік_місяць],"",0,1)</f>
        <v>2025.06</v>
      </c>
      <c r="H77" s="2" t="str">
        <f>_xlfn.XLOOKUP(Table2[[#This Row],[ID]],Table1[ID],Table1[Прайс],"",0,1)</f>
        <v>LIGA360</v>
      </c>
      <c r="I77" s="2" t="str">
        <f>_xlfn.XLOOKUP(Table2[[#This Row],[ID]],Table1[ID],Table1[Сегмент],"",0,1)</f>
        <v>МАЛЫЙ БИЗНЕС</v>
      </c>
    </row>
    <row r="78" spans="1:9" x14ac:dyDescent="0.25">
      <c r="A78" s="2">
        <v>234621</v>
      </c>
      <c r="B78" s="2" t="s">
        <v>147</v>
      </c>
      <c r="C78" s="2" t="s">
        <v>148</v>
      </c>
      <c r="D78" s="2" t="s">
        <v>25</v>
      </c>
      <c r="E78" s="2" t="str">
        <f>_xlfn.XLOOKUP(Table2[[#This Row],[ID]],Table1[ID],Table1[Канал продажу],"",0,1)</f>
        <v>Дилерська мережа</v>
      </c>
      <c r="F78" s="2">
        <f>_xlfn.XLOOKUP(Table2[[#This Row],[ID]],Table1[ID],Table1[Сума, євро],"",0,1)</f>
        <v>127</v>
      </c>
      <c r="G78" s="2" t="str">
        <f>_xlfn.XLOOKUP(Table2[[#This Row],[ID]],Table1[ID],Table1[Рік_місяць],"",0,1)</f>
        <v>2025.05</v>
      </c>
      <c r="H78" s="2" t="str">
        <f>_xlfn.XLOOKUP(Table2[[#This Row],[ID]],Table1[ID],Table1[Прайс],"",0,1)</f>
        <v>LIGA360</v>
      </c>
      <c r="I78" s="2" t="str">
        <f>_xlfn.XLOOKUP(Table2[[#This Row],[ID]],Table1[ID],Table1[Сегмент],"",0,1)</f>
        <v>МАЛЫЙ БУХ.-АУДИТ. БИЗНЕС</v>
      </c>
    </row>
    <row r="79" spans="1:9" x14ac:dyDescent="0.25">
      <c r="A79" s="2">
        <v>234622</v>
      </c>
      <c r="B79" s="2" t="s">
        <v>149</v>
      </c>
      <c r="C79" s="2" t="s">
        <v>150</v>
      </c>
      <c r="D79" s="2" t="s">
        <v>26</v>
      </c>
      <c r="E79" s="2" t="str">
        <f>_xlfn.XLOOKUP(Table2[[#This Row],[ID]],Table1[ID],Table1[Канал продажу],"",0,1)</f>
        <v>Дилерська мережа</v>
      </c>
      <c r="F79" s="2">
        <f>_xlfn.XLOOKUP(Table2[[#This Row],[ID]],Table1[ID],Table1[Сума, євро],"",0,1)</f>
        <v>76.2</v>
      </c>
      <c r="G79" s="2" t="str">
        <f>_xlfn.XLOOKUP(Table2[[#This Row],[ID]],Table1[ID],Table1[Рік_місяць],"",0,1)</f>
        <v>2025.06</v>
      </c>
      <c r="H79" s="2" t="str">
        <f>_xlfn.XLOOKUP(Table2[[#This Row],[ID]],Table1[ID],Table1[Прайс],"",0,1)</f>
        <v>ClientDay</v>
      </c>
      <c r="I79" s="2" t="str">
        <f>_xlfn.XLOOKUP(Table2[[#This Row],[ID]],Table1[ID],Table1[Сегмент],"",0,1)</f>
        <v>МАЛЫЙ ЮР. БИЗНЕС</v>
      </c>
    </row>
    <row r="80" spans="1:9" x14ac:dyDescent="0.25">
      <c r="A80" s="2">
        <v>234623</v>
      </c>
      <c r="B80" s="2" t="s">
        <v>151</v>
      </c>
      <c r="C80" s="2" t="s">
        <v>152</v>
      </c>
      <c r="D80" s="2" t="s">
        <v>27</v>
      </c>
      <c r="E80" s="2" t="str">
        <f>_xlfn.XLOOKUP(Table2[[#This Row],[ID]],Table1[ID],Table1[Канал продажу],"",0,1)</f>
        <v>Дилерська мережа</v>
      </c>
      <c r="F80" s="2">
        <f>_xlfn.XLOOKUP(Table2[[#This Row],[ID]],Table1[ID],Table1[Сума, євро],"",0,1)</f>
        <v>76.2</v>
      </c>
      <c r="G80" s="2" t="str">
        <f>_xlfn.XLOOKUP(Table2[[#This Row],[ID]],Table1[ID],Table1[Рік_місяць],"",0,1)</f>
        <v>2025.05</v>
      </c>
      <c r="H80" s="2" t="str">
        <f>_xlfn.XLOOKUP(Table2[[#This Row],[ID]],Table1[ID],Table1[Прайс],"",0,1)</f>
        <v>ClientDay</v>
      </c>
      <c r="I80" s="2" t="str">
        <f>_xlfn.XLOOKUP(Table2[[#This Row],[ID]],Table1[ID],Table1[Сегмент],"",0,1)</f>
        <v>МАЛЫЙ БИЗНЕС</v>
      </c>
    </row>
    <row r="81" spans="1:9" x14ac:dyDescent="0.25">
      <c r="A81" s="2">
        <v>234624</v>
      </c>
      <c r="B81" s="2" t="s">
        <v>153</v>
      </c>
      <c r="C81" s="2" t="s">
        <v>154</v>
      </c>
      <c r="D81" s="2" t="s">
        <v>28</v>
      </c>
      <c r="E81" s="2" t="str">
        <f>_xlfn.XLOOKUP(Table2[[#This Row],[ID]],Table1[ID],Table1[Канал продажу],"",0,1)</f>
        <v>Держ регіональні</v>
      </c>
      <c r="F81" s="2">
        <f>_xlfn.XLOOKUP(Table2[[#This Row],[ID]],Table1[ID],Table1[Сума, євро],"",0,1)</f>
        <v>76.2</v>
      </c>
      <c r="G81" s="2" t="str">
        <f>_xlfn.XLOOKUP(Table2[[#This Row],[ID]],Table1[ID],Table1[Рік_місяць],"",0,1)</f>
        <v>2025.06</v>
      </c>
      <c r="H81" s="2" t="str">
        <f>_xlfn.XLOOKUP(Table2[[#This Row],[ID]],Table1[ID],Table1[Прайс],"",0,1)</f>
        <v>ClientDay</v>
      </c>
      <c r="I81" s="2" t="str">
        <f>_xlfn.XLOOKUP(Table2[[#This Row],[ID]],Table1[ID],Table1[Сегмент],"",0,1)</f>
        <v>СРЕДНИЙ БИЗНЕС</v>
      </c>
    </row>
    <row r="82" spans="1:9" x14ac:dyDescent="0.25">
      <c r="A82" s="2">
        <v>234625</v>
      </c>
      <c r="B82" s="2" t="s">
        <v>155</v>
      </c>
      <c r="C82" s="2" t="s">
        <v>156</v>
      </c>
      <c r="D82" s="2" t="s">
        <v>31</v>
      </c>
      <c r="E82" s="2" t="str">
        <f>_xlfn.XLOOKUP(Table2[[#This Row],[ID]],Table1[ID],Table1[Канал продажу],"",0,1)</f>
        <v>Корп клієнти</v>
      </c>
      <c r="F82" s="2">
        <f>_xlfn.XLOOKUP(Table2[[#This Row],[ID]],Table1[ID],Table1[Сума, євро],"",0,1)</f>
        <v>76.2</v>
      </c>
      <c r="G82" s="2" t="str">
        <f>_xlfn.XLOOKUP(Table2[[#This Row],[ID]],Table1[ID],Table1[Рік_місяць],"",0,1)</f>
        <v>2025.05</v>
      </c>
      <c r="H82" s="2" t="str">
        <f>_xlfn.XLOOKUP(Table2[[#This Row],[ID]],Table1[ID],Table1[Прайс],"",0,1)</f>
        <v>ClientDay</v>
      </c>
      <c r="I82" s="2" t="str">
        <f>_xlfn.XLOOKUP(Table2[[#This Row],[ID]],Table1[ID],Table1[Сегмент],"",0,1)</f>
        <v>СРЕДНИЙ БИЗНЕС</v>
      </c>
    </row>
  </sheetData>
  <phoneticPr fontId="1" type="noConversion"/>
  <conditionalFormatting sqref="A1">
    <cfRule type="duplicateValues" dxfId="5" priority="1"/>
  </conditionalFormatting>
  <dataValidations count="3">
    <dataValidation type="textLength" operator="lessThanOrEqual" showInputMessage="1" showErrorMessage="1" errorTitle="Длина превышена" error="Это значение должно иметь длину 100 или меньше символов." promptTitle="Текст (обязательные)" prompt="Максимальная длина: 100 символов." sqref="C2:C82" xr:uid="{8E84951B-F6E7-4421-AD02-FC47889B5557}">
      <formula1>100</formula1>
    </dataValidation>
    <dataValidation showInputMessage="1" showErrorMessage="1" error=" " promptTitle="Поиск (обязательные)" prompt="Эта запись Клиент должна уже существовать в Microsoft Dynamics 365 или в этом исходном файле." sqref="B2:B82" xr:uid="{FE14398A-C89C-4A84-893B-3D9578D7B7BC}"/>
    <dataValidation type="textLength" operator="lessThanOrEqual" showInputMessage="1" showErrorMessage="1" errorTitle="Длина превышена" error="Это значение должно иметь длину 20 или меньше символов." promptTitle="Текст (обязательные)" prompt="Максимальная длина: 20 символов." sqref="A2:A6" xr:uid="{486B12D7-C436-4732-BAD0-D9E82174C03D}">
      <formula1>20</formula1>
    </dataValidation>
  </dataValidations>
  <hyperlinks>
    <hyperlink ref="C15" r:id="rId1" xr:uid="{A359343F-EB42-4286-BE1B-0121759B80C7}"/>
    <hyperlink ref="C16:C25" r:id="rId2" display="115@mail.com" xr:uid="{A19C7C7B-663C-43C4-A482-03EA6F042AA9}"/>
    <hyperlink ref="C22" r:id="rId3" xr:uid="{D7FFACAF-BD4A-4904-87D0-8359B8C8013E}"/>
    <hyperlink ref="C23" r:id="rId4" xr:uid="{15593AE1-41BB-4460-B591-A2CFA6AFAD46}"/>
    <hyperlink ref="C24" r:id="rId5" xr:uid="{AB3FE267-C02E-4974-ADB6-A232289F4EFE}"/>
    <hyperlink ref="C25" r:id="rId6" xr:uid="{0B588890-2E2F-4306-A927-83EEF5450563}"/>
    <hyperlink ref="C26" r:id="rId7" xr:uid="{6E56D0EB-99FF-4BB1-8B83-58E76ADDA322}"/>
    <hyperlink ref="C27" r:id="rId8" xr:uid="{FB301604-50B9-4C71-84A2-B034A085DB4C}"/>
    <hyperlink ref="C28" r:id="rId9" xr:uid="{16F7B8C8-9010-4EDD-9F8F-91DC516FD5B6}"/>
    <hyperlink ref="C29" r:id="rId10" xr:uid="{3B91E092-2312-46D8-AD19-2599BBED2ED5}"/>
    <hyperlink ref="C30" r:id="rId11" xr:uid="{9A6052DB-9CF9-416B-AF14-DD5348848763}"/>
    <hyperlink ref="C31" r:id="rId12" xr:uid="{2632BDA4-173A-4EA6-A296-57C8BE1F5019}"/>
    <hyperlink ref="C32" r:id="rId13" xr:uid="{4A363B43-4B66-4444-A0C2-ED0CDCD932BC}"/>
    <hyperlink ref="C33" r:id="rId14" xr:uid="{233FD430-57AD-451F-BA93-3965C0C820CB}"/>
    <hyperlink ref="C34" r:id="rId15" xr:uid="{44B359B9-7554-41AF-A9EA-4932EB48D48A}"/>
    <hyperlink ref="C35" r:id="rId16" xr:uid="{82C2ED53-78DD-4E3B-8602-37EF0D5AB94E}"/>
    <hyperlink ref="C36" r:id="rId17" xr:uid="{4C48C630-2BF7-4C4F-95FB-C9D895FF4F03}"/>
    <hyperlink ref="C37:C38" r:id="rId18" display="128@mail.com" xr:uid="{25A43849-5CB8-489F-AD6C-080B919BEC91}"/>
    <hyperlink ref="C39" r:id="rId19" xr:uid="{FF271636-22B9-4CF5-BD0C-D5D63B521454}"/>
    <hyperlink ref="C40" r:id="rId20" xr:uid="{631BD376-9755-4486-A219-71BE604CCCAF}"/>
    <hyperlink ref="C41" r:id="rId21" xr:uid="{F3CB6E5A-B4AB-4729-A68B-620A7F13A064}"/>
    <hyperlink ref="C42" r:id="rId22" xr:uid="{2E37804B-1BEF-4097-BF30-3A268570AC73}"/>
    <hyperlink ref="C43" r:id="rId23" xr:uid="{194C8B1E-3A38-4AC5-87AA-A0419F6AE729}"/>
    <hyperlink ref="C44" r:id="rId24" xr:uid="{FE528E40-9EF2-436F-8232-E08642C0ADAC}"/>
    <hyperlink ref="C45" r:id="rId25" xr:uid="{6B082824-8244-43FC-BA85-E5481B2FE351}"/>
    <hyperlink ref="C46" r:id="rId26" xr:uid="{A0ED2E87-3615-421B-83F9-DB0AD4D4FE19}"/>
    <hyperlink ref="C47" r:id="rId27" xr:uid="{6CFBF3C5-B74C-438C-AC97-22A81DEC494F}"/>
    <hyperlink ref="C48" r:id="rId28" xr:uid="{F443BEF0-4B0F-4F08-8CCD-958E955AFCD4}"/>
    <hyperlink ref="C49" r:id="rId29" xr:uid="{05ED8111-C754-4D81-9A45-425E23CE6D21}"/>
    <hyperlink ref="C50" r:id="rId30" xr:uid="{A2C8B387-70B9-40C4-BF26-C51F4D4E5223}"/>
    <hyperlink ref="C51" r:id="rId31" xr:uid="{AF4F9C4B-0EA5-4C24-9F03-657DA2FF172E}"/>
    <hyperlink ref="C52" r:id="rId32" xr:uid="{5942FE10-813E-4DF5-A00B-514869A297B8}"/>
    <hyperlink ref="C53" r:id="rId33" xr:uid="{FB56984F-82EA-4B0B-BA0F-DA9B01B2F6B2}"/>
    <hyperlink ref="C54" r:id="rId34" xr:uid="{DA9AE37C-9608-48C3-A2F1-4EBA093C1F7C}"/>
    <hyperlink ref="C55" r:id="rId35" xr:uid="{5878B7AE-719F-4E7E-803C-F98A4E7493C3}"/>
    <hyperlink ref="C56" r:id="rId36" xr:uid="{BD42FC9A-529F-4593-BE84-B9601A8A8FB5}"/>
    <hyperlink ref="C57" r:id="rId37" xr:uid="{43166090-8380-45CB-B717-12D5F9C98F3C}"/>
    <hyperlink ref="C58" r:id="rId38" xr:uid="{C193045C-6A44-44E9-A3CE-B03FBEE60395}"/>
    <hyperlink ref="C59" r:id="rId39" xr:uid="{817789E6-AE29-4005-8098-E398487674C9}"/>
    <hyperlink ref="C60" r:id="rId40" xr:uid="{02BB779F-0FE4-4E8D-B2F2-8D601543CBFC}"/>
    <hyperlink ref="C61" r:id="rId41" xr:uid="{DB8993C1-98BD-488F-A3F6-517E438F3F75}"/>
    <hyperlink ref="C62" r:id="rId42" xr:uid="{ABB1E813-3C1E-4765-9738-92B465F0ED4D}"/>
    <hyperlink ref="C63" r:id="rId43" xr:uid="{C0B21984-8FFA-412E-8AC0-24F066AE3F6E}"/>
    <hyperlink ref="C64" r:id="rId44" xr:uid="{ACCF2163-A39E-479F-B88E-155C453A96C3}"/>
    <hyperlink ref="C65" r:id="rId45" xr:uid="{93254A91-D483-48EC-BBC9-83063BAF6D1E}"/>
    <hyperlink ref="C66" r:id="rId46" xr:uid="{55C80B3C-2D66-453E-81ED-69ACFCE9B921}"/>
    <hyperlink ref="C67" r:id="rId47" xr:uid="{DCCA8A4B-E702-45BB-B6DF-8750B941DAEB}"/>
    <hyperlink ref="C68" r:id="rId48" xr:uid="{602DD34D-3F2E-4DC8-9864-649A22589ACC}"/>
    <hyperlink ref="C69" r:id="rId49" xr:uid="{A2E1BFA9-50D7-4AAC-B273-1986395B1186}"/>
    <hyperlink ref="C70" r:id="rId50" xr:uid="{C97686B2-7F24-4279-B236-F8AA9CA92D8B}"/>
    <hyperlink ref="C71" r:id="rId51" xr:uid="{DA68B582-96ED-4640-8309-E3DB106B0969}"/>
    <hyperlink ref="C72" r:id="rId52" xr:uid="{16FA5979-E1E3-4D0C-BBF2-92470D8F0E36}"/>
    <hyperlink ref="C73" r:id="rId53" xr:uid="{8520C7E4-777A-43D3-AB08-274880612E2F}"/>
    <hyperlink ref="C74" r:id="rId54" xr:uid="{031DC485-CB43-41A1-A944-7DD5B71F0CC2}"/>
    <hyperlink ref="C75" r:id="rId55" xr:uid="{66B75869-7D23-45EC-9205-F79EA8D60F09}"/>
    <hyperlink ref="C76" r:id="rId56" xr:uid="{F6F94710-5995-47BA-B039-0324D0060B94}"/>
    <hyperlink ref="C77" r:id="rId57" xr:uid="{BA5EB748-573D-4092-916F-9E7DFD9A8111}"/>
    <hyperlink ref="C78" r:id="rId58" xr:uid="{7C940E0D-66C5-4BE0-8CA7-D007E34AA6C5}"/>
    <hyperlink ref="C79" r:id="rId59" xr:uid="{BC2C3435-2C7C-4694-B32C-0CDE388A8DA3}"/>
    <hyperlink ref="C80" r:id="rId60" xr:uid="{F4BB6795-AE8F-473E-A7EB-FE5426FAAE5E}"/>
    <hyperlink ref="C81" r:id="rId61" xr:uid="{B0663CF7-4A56-4783-893A-038F7620D01D}"/>
    <hyperlink ref="C82" r:id="rId62" xr:uid="{084FB4B6-1CC1-4698-B8A0-EC1D71125FDA}"/>
  </hyperlinks>
  <pageMargins left="0.7" right="0.7" top="0.75" bottom="0.75" header="0.3" footer="0.3"/>
  <tableParts count="1">
    <tablePart r:id="rId6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F74A8-620D-4C09-A349-5AF1C0F1669C}">
  <sheetPr>
    <tabColor theme="5" tint="0.59999389629810485"/>
  </sheetPr>
  <dimension ref="A1:H61"/>
  <sheetViews>
    <sheetView topLeftCell="A2" workbookViewId="0">
      <selection activeCell="B9" sqref="B9"/>
    </sheetView>
  </sheetViews>
  <sheetFormatPr defaultRowHeight="15.75" x14ac:dyDescent="0.25"/>
  <cols>
    <col min="1" max="1" width="19" style="2" bestFit="1" customWidth="1"/>
    <col min="2" max="2" width="7.7109375" style="3" bestFit="1" customWidth="1"/>
    <col min="3" max="3" width="9.42578125" style="2" customWidth="1"/>
    <col min="4" max="4" width="9.7109375" style="2" bestFit="1" customWidth="1"/>
    <col min="5" max="5" width="17.5703125" style="2" customWidth="1"/>
    <col min="6" max="6" width="13.7109375" style="2" customWidth="1"/>
    <col min="7" max="7" width="32" style="2" bestFit="1" customWidth="1"/>
    <col min="8" max="8" width="13.7109375" style="2" customWidth="1"/>
  </cols>
  <sheetData>
    <row r="1" spans="1:8" x14ac:dyDescent="0.25">
      <c r="A1" s="13" t="s">
        <v>157</v>
      </c>
      <c r="B1" s="14" t="s">
        <v>18</v>
      </c>
      <c r="C1" s="15" t="s">
        <v>19</v>
      </c>
      <c r="D1" s="15" t="s">
        <v>158</v>
      </c>
      <c r="E1" s="15" t="s">
        <v>159</v>
      </c>
      <c r="F1" s="15" t="s">
        <v>160</v>
      </c>
      <c r="G1" s="15" t="s">
        <v>161</v>
      </c>
      <c r="H1" s="15" t="s">
        <v>162</v>
      </c>
    </row>
    <row r="2" spans="1:8" x14ac:dyDescent="0.25">
      <c r="A2" s="2" t="s">
        <v>163</v>
      </c>
      <c r="B2" s="2">
        <v>123123</v>
      </c>
      <c r="C2" s="2" t="s">
        <v>22</v>
      </c>
      <c r="D2" s="2" t="s">
        <v>164</v>
      </c>
      <c r="E2" s="2">
        <v>117087</v>
      </c>
      <c r="F2" s="2" t="s">
        <v>165</v>
      </c>
      <c r="G2" s="2" t="s">
        <v>166</v>
      </c>
      <c r="H2" s="2">
        <v>635</v>
      </c>
    </row>
    <row r="3" spans="1:8" x14ac:dyDescent="0.25">
      <c r="A3" s="2" t="s">
        <v>163</v>
      </c>
      <c r="B3" s="2">
        <v>234567</v>
      </c>
      <c r="C3" s="2" t="s">
        <v>29</v>
      </c>
      <c r="D3" s="2" t="s">
        <v>167</v>
      </c>
      <c r="E3" s="2">
        <v>117099</v>
      </c>
      <c r="F3" s="2" t="s">
        <v>168</v>
      </c>
      <c r="G3" s="2" t="s">
        <v>166</v>
      </c>
      <c r="H3" s="2">
        <v>76.2</v>
      </c>
    </row>
    <row r="4" spans="1:8" x14ac:dyDescent="0.25">
      <c r="A4" s="2" t="s">
        <v>169</v>
      </c>
      <c r="B4" s="2">
        <v>234568</v>
      </c>
      <c r="C4" s="2" t="s">
        <v>32</v>
      </c>
      <c r="D4" s="2" t="s">
        <v>164</v>
      </c>
      <c r="E4" s="2">
        <v>117111</v>
      </c>
      <c r="F4" s="2" t="s">
        <v>165</v>
      </c>
      <c r="G4" s="2" t="s">
        <v>166</v>
      </c>
      <c r="H4" s="2">
        <v>254</v>
      </c>
    </row>
    <row r="5" spans="1:8" x14ac:dyDescent="0.25">
      <c r="A5" s="2" t="s">
        <v>170</v>
      </c>
      <c r="B5" s="2">
        <v>234569</v>
      </c>
      <c r="C5" s="2" t="s">
        <v>36</v>
      </c>
      <c r="D5" s="2" t="s">
        <v>167</v>
      </c>
      <c r="E5" s="2">
        <v>117123</v>
      </c>
      <c r="F5" s="2" t="s">
        <v>168</v>
      </c>
      <c r="G5" s="2" t="s">
        <v>171</v>
      </c>
      <c r="H5" s="2">
        <v>381</v>
      </c>
    </row>
    <row r="6" spans="1:8" x14ac:dyDescent="0.25">
      <c r="A6" s="2" t="s">
        <v>172</v>
      </c>
      <c r="B6" s="2">
        <v>234570</v>
      </c>
      <c r="C6" s="2" t="s">
        <v>41</v>
      </c>
      <c r="D6" s="2" t="s">
        <v>164</v>
      </c>
      <c r="E6" s="2">
        <v>117135</v>
      </c>
      <c r="F6" s="2" t="s">
        <v>165</v>
      </c>
      <c r="G6" s="2" t="s">
        <v>173</v>
      </c>
      <c r="H6" s="2">
        <v>889</v>
      </c>
    </row>
    <row r="7" spans="1:8" x14ac:dyDescent="0.25">
      <c r="A7" s="2" t="s">
        <v>174</v>
      </c>
      <c r="B7" s="2">
        <v>234571</v>
      </c>
      <c r="C7" s="2" t="s">
        <v>46</v>
      </c>
      <c r="D7" s="2" t="s">
        <v>167</v>
      </c>
      <c r="E7" s="2">
        <v>117147</v>
      </c>
      <c r="F7" s="2" t="s">
        <v>168</v>
      </c>
      <c r="G7" s="2" t="s">
        <v>175</v>
      </c>
      <c r="H7" s="2">
        <v>76.2</v>
      </c>
    </row>
    <row r="8" spans="1:8" x14ac:dyDescent="0.25">
      <c r="A8" s="2" t="s">
        <v>163</v>
      </c>
      <c r="B8" s="2">
        <v>234572</v>
      </c>
      <c r="C8" s="2" t="s">
        <v>48</v>
      </c>
      <c r="D8" s="2" t="s">
        <v>164</v>
      </c>
      <c r="E8" s="2">
        <v>117159</v>
      </c>
      <c r="F8" s="2" t="s">
        <v>165</v>
      </c>
      <c r="G8" s="2" t="s">
        <v>175</v>
      </c>
      <c r="H8" s="2">
        <v>127</v>
      </c>
    </row>
    <row r="9" spans="1:8" x14ac:dyDescent="0.25">
      <c r="A9" s="2" t="s">
        <v>163</v>
      </c>
      <c r="B9" s="2">
        <v>234573</v>
      </c>
      <c r="C9" s="2" t="s">
        <v>50</v>
      </c>
      <c r="D9" s="2" t="s">
        <v>167</v>
      </c>
      <c r="E9" s="2">
        <v>117171</v>
      </c>
      <c r="F9" s="2" t="s">
        <v>168</v>
      </c>
      <c r="G9" s="2" t="s">
        <v>175</v>
      </c>
      <c r="H9" s="2">
        <v>76.2</v>
      </c>
    </row>
    <row r="10" spans="1:8" x14ac:dyDescent="0.25">
      <c r="A10" s="2" t="s">
        <v>163</v>
      </c>
      <c r="B10" s="2">
        <v>234574</v>
      </c>
      <c r="C10" s="2" t="s">
        <v>52</v>
      </c>
      <c r="D10" s="2" t="s">
        <v>167</v>
      </c>
      <c r="E10" s="2">
        <v>117183</v>
      </c>
      <c r="F10" s="2" t="s">
        <v>165</v>
      </c>
      <c r="G10" s="2" t="s">
        <v>176</v>
      </c>
      <c r="H10" s="2">
        <v>76.2</v>
      </c>
    </row>
    <row r="11" spans="1:8" x14ac:dyDescent="0.25">
      <c r="A11" s="2" t="s">
        <v>163</v>
      </c>
      <c r="B11" s="2">
        <v>234575</v>
      </c>
      <c r="C11" s="2" t="s">
        <v>54</v>
      </c>
      <c r="D11" s="2" t="s">
        <v>167</v>
      </c>
      <c r="E11" s="2">
        <v>117195</v>
      </c>
      <c r="F11" s="2" t="s">
        <v>168</v>
      </c>
      <c r="G11" s="2" t="s">
        <v>175</v>
      </c>
      <c r="H11" s="2">
        <v>76.2</v>
      </c>
    </row>
    <row r="12" spans="1:8" x14ac:dyDescent="0.25">
      <c r="A12" s="2" t="s">
        <v>163</v>
      </c>
      <c r="B12" s="2">
        <v>234576</v>
      </c>
      <c r="C12" s="2" t="s">
        <v>56</v>
      </c>
      <c r="D12" s="2" t="s">
        <v>167</v>
      </c>
      <c r="E12" s="2">
        <v>117207</v>
      </c>
      <c r="F12" s="2" t="s">
        <v>165</v>
      </c>
      <c r="G12" s="2" t="s">
        <v>173</v>
      </c>
      <c r="H12" s="2">
        <v>76.2</v>
      </c>
    </row>
    <row r="13" spans="1:8" x14ac:dyDescent="0.25">
      <c r="A13" s="2" t="s">
        <v>172</v>
      </c>
      <c r="B13" s="2">
        <v>234577</v>
      </c>
      <c r="C13" s="2" t="s">
        <v>58</v>
      </c>
      <c r="D13" s="2" t="s">
        <v>167</v>
      </c>
      <c r="E13" s="2">
        <v>117219</v>
      </c>
      <c r="F13" s="2" t="s">
        <v>168</v>
      </c>
      <c r="G13" s="2" t="s">
        <v>176</v>
      </c>
      <c r="H13" s="2">
        <v>76.2</v>
      </c>
    </row>
    <row r="14" spans="1:8" x14ac:dyDescent="0.25">
      <c r="A14" s="2" t="s">
        <v>174</v>
      </c>
      <c r="B14" s="2">
        <v>234578</v>
      </c>
      <c r="C14" s="2" t="s">
        <v>60</v>
      </c>
      <c r="D14" s="2" t="s">
        <v>167</v>
      </c>
      <c r="E14" s="2">
        <v>117231</v>
      </c>
      <c r="F14" s="2" t="s">
        <v>165</v>
      </c>
      <c r="G14" s="2" t="s">
        <v>177</v>
      </c>
      <c r="H14" s="2">
        <v>76.2</v>
      </c>
    </row>
    <row r="15" spans="1:8" x14ac:dyDescent="0.25">
      <c r="A15" s="2" t="s">
        <v>163</v>
      </c>
      <c r="B15" s="2">
        <v>234579</v>
      </c>
      <c r="C15" s="2" t="s">
        <v>62</v>
      </c>
      <c r="D15" s="2" t="s">
        <v>164</v>
      </c>
      <c r="E15" s="2">
        <v>117243</v>
      </c>
      <c r="F15" s="2" t="s">
        <v>168</v>
      </c>
      <c r="G15" s="2" t="s">
        <v>166</v>
      </c>
      <c r="H15" s="2">
        <v>127</v>
      </c>
    </row>
    <row r="16" spans="1:8" x14ac:dyDescent="0.25">
      <c r="A16" s="2" t="s">
        <v>163</v>
      </c>
      <c r="B16" s="2">
        <v>234580</v>
      </c>
      <c r="C16" s="2" t="s">
        <v>64</v>
      </c>
      <c r="D16" s="2" t="s">
        <v>164</v>
      </c>
      <c r="E16" s="2">
        <v>117255</v>
      </c>
      <c r="F16" s="2" t="s">
        <v>165</v>
      </c>
      <c r="G16" s="2" t="s">
        <v>175</v>
      </c>
      <c r="H16" s="2">
        <v>127</v>
      </c>
    </row>
    <row r="17" spans="1:8" x14ac:dyDescent="0.25">
      <c r="A17" s="2" t="s">
        <v>174</v>
      </c>
      <c r="B17" s="2">
        <v>234581</v>
      </c>
      <c r="C17" s="2" t="s">
        <v>66</v>
      </c>
      <c r="D17" s="2" t="s">
        <v>164</v>
      </c>
      <c r="E17" s="2">
        <v>117267</v>
      </c>
      <c r="F17" s="2" t="s">
        <v>168</v>
      </c>
      <c r="G17" s="2" t="s">
        <v>177</v>
      </c>
      <c r="H17" s="2">
        <v>254</v>
      </c>
    </row>
    <row r="18" spans="1:8" x14ac:dyDescent="0.25">
      <c r="A18" s="2" t="s">
        <v>169</v>
      </c>
      <c r="B18" s="2">
        <v>234582</v>
      </c>
      <c r="C18" s="2" t="s">
        <v>68</v>
      </c>
      <c r="D18" s="2" t="s">
        <v>164</v>
      </c>
      <c r="E18" s="2">
        <v>117279</v>
      </c>
      <c r="F18" s="2" t="s">
        <v>165</v>
      </c>
      <c r="G18" s="2" t="s">
        <v>171</v>
      </c>
      <c r="H18" s="2">
        <v>254</v>
      </c>
    </row>
    <row r="19" spans="1:8" x14ac:dyDescent="0.25">
      <c r="A19" s="2" t="s">
        <v>163</v>
      </c>
      <c r="B19" s="2">
        <v>234583</v>
      </c>
      <c r="C19" s="2" t="s">
        <v>70</v>
      </c>
      <c r="D19" s="2" t="s">
        <v>164</v>
      </c>
      <c r="E19" s="2">
        <v>117291</v>
      </c>
      <c r="F19" s="2" t="s">
        <v>168</v>
      </c>
      <c r="G19" s="2" t="s">
        <v>175</v>
      </c>
      <c r="H19" s="2">
        <v>381</v>
      </c>
    </row>
    <row r="20" spans="1:8" x14ac:dyDescent="0.25">
      <c r="A20" s="2" t="s">
        <v>172</v>
      </c>
      <c r="B20" s="2">
        <v>234584</v>
      </c>
      <c r="C20" s="2" t="s">
        <v>72</v>
      </c>
      <c r="D20" s="2" t="s">
        <v>164</v>
      </c>
      <c r="E20" s="2">
        <v>117303</v>
      </c>
      <c r="F20" s="2" t="s">
        <v>165</v>
      </c>
      <c r="G20" s="2" t="s">
        <v>175</v>
      </c>
      <c r="H20" s="2">
        <v>254</v>
      </c>
    </row>
    <row r="21" spans="1:8" x14ac:dyDescent="0.25">
      <c r="A21" s="2" t="s">
        <v>174</v>
      </c>
      <c r="B21" s="2">
        <v>234585</v>
      </c>
      <c r="C21" s="2" t="s">
        <v>74</v>
      </c>
      <c r="D21" s="2" t="s">
        <v>164</v>
      </c>
      <c r="E21" s="2">
        <v>117315</v>
      </c>
      <c r="F21" s="2" t="s">
        <v>168</v>
      </c>
      <c r="G21" s="2" t="s">
        <v>178</v>
      </c>
      <c r="H21" s="2">
        <v>254</v>
      </c>
    </row>
    <row r="22" spans="1:8" x14ac:dyDescent="0.25">
      <c r="A22" s="2" t="s">
        <v>163</v>
      </c>
      <c r="B22" s="2">
        <v>234586</v>
      </c>
      <c r="C22" s="2" t="s">
        <v>76</v>
      </c>
      <c r="D22" s="2" t="s">
        <v>167</v>
      </c>
      <c r="E22" s="2">
        <v>117327</v>
      </c>
      <c r="F22" s="2" t="s">
        <v>165</v>
      </c>
      <c r="G22" s="2" t="s">
        <v>176</v>
      </c>
      <c r="H22" s="2">
        <v>76.2</v>
      </c>
    </row>
    <row r="23" spans="1:8" x14ac:dyDescent="0.25">
      <c r="A23" s="2" t="s">
        <v>163</v>
      </c>
      <c r="B23" s="2">
        <v>234587</v>
      </c>
      <c r="C23" s="2" t="s">
        <v>78</v>
      </c>
      <c r="D23" s="2" t="s">
        <v>167</v>
      </c>
      <c r="E23" s="2">
        <v>117339</v>
      </c>
      <c r="F23" s="2" t="s">
        <v>168</v>
      </c>
      <c r="G23" s="2" t="s">
        <v>179</v>
      </c>
      <c r="H23" s="2">
        <v>76.2</v>
      </c>
    </row>
    <row r="24" spans="1:8" x14ac:dyDescent="0.25">
      <c r="A24" s="2" t="s">
        <v>180</v>
      </c>
      <c r="B24" s="2">
        <v>234588</v>
      </c>
      <c r="C24" s="2" t="s">
        <v>81</v>
      </c>
      <c r="D24" s="2" t="s">
        <v>167</v>
      </c>
      <c r="E24" s="2">
        <v>117351</v>
      </c>
      <c r="F24" s="2" t="s">
        <v>165</v>
      </c>
      <c r="G24" s="2" t="s">
        <v>166</v>
      </c>
      <c r="H24" s="2">
        <v>76.2</v>
      </c>
    </row>
    <row r="25" spans="1:8" x14ac:dyDescent="0.25">
      <c r="A25" s="2" t="s">
        <v>169</v>
      </c>
      <c r="B25" s="2">
        <v>234589</v>
      </c>
      <c r="C25" s="2" t="s">
        <v>83</v>
      </c>
      <c r="D25" s="2" t="s">
        <v>167</v>
      </c>
      <c r="E25" s="2">
        <v>117363</v>
      </c>
      <c r="F25" s="2" t="s">
        <v>168</v>
      </c>
      <c r="G25" s="2" t="s">
        <v>181</v>
      </c>
      <c r="H25" s="2">
        <v>76.2</v>
      </c>
    </row>
    <row r="26" spans="1:8" x14ac:dyDescent="0.25">
      <c r="A26" s="2" t="s">
        <v>163</v>
      </c>
      <c r="B26" s="2">
        <v>234590</v>
      </c>
      <c r="C26" s="2" t="s">
        <v>85</v>
      </c>
      <c r="D26" s="2" t="s">
        <v>164</v>
      </c>
      <c r="E26" s="2">
        <v>117375</v>
      </c>
      <c r="F26" s="2" t="s">
        <v>168</v>
      </c>
      <c r="G26" s="2" t="s">
        <v>175</v>
      </c>
      <c r="H26" s="2">
        <v>127</v>
      </c>
    </row>
    <row r="27" spans="1:8" x14ac:dyDescent="0.25">
      <c r="A27" s="2" t="s">
        <v>172</v>
      </c>
      <c r="B27" s="2">
        <v>234591</v>
      </c>
      <c r="C27" s="2" t="s">
        <v>87</v>
      </c>
      <c r="D27" s="2" t="s">
        <v>164</v>
      </c>
      <c r="E27" s="2">
        <v>117387</v>
      </c>
      <c r="F27" s="2" t="s">
        <v>165</v>
      </c>
      <c r="G27" s="2" t="s">
        <v>173</v>
      </c>
      <c r="H27" s="2">
        <v>127</v>
      </c>
    </row>
    <row r="28" spans="1:8" x14ac:dyDescent="0.25">
      <c r="A28" s="2" t="s">
        <v>174</v>
      </c>
      <c r="B28" s="2">
        <v>234592</v>
      </c>
      <c r="C28" s="2" t="s">
        <v>89</v>
      </c>
      <c r="D28" s="2" t="s">
        <v>167</v>
      </c>
      <c r="E28" s="2">
        <v>117399</v>
      </c>
      <c r="F28" s="2" t="s">
        <v>168</v>
      </c>
      <c r="G28" s="2" t="s">
        <v>177</v>
      </c>
      <c r="H28" s="2">
        <v>76.2</v>
      </c>
    </row>
    <row r="29" spans="1:8" x14ac:dyDescent="0.25">
      <c r="A29" s="2" t="s">
        <v>163</v>
      </c>
      <c r="B29" s="2">
        <v>234593</v>
      </c>
      <c r="C29" s="2" t="s">
        <v>91</v>
      </c>
      <c r="D29" s="2" t="s">
        <v>164</v>
      </c>
      <c r="E29" s="2">
        <v>117411</v>
      </c>
      <c r="F29" s="2" t="s">
        <v>165</v>
      </c>
      <c r="G29" s="2" t="s">
        <v>175</v>
      </c>
      <c r="H29" s="2">
        <v>127</v>
      </c>
    </row>
    <row r="30" spans="1:8" x14ac:dyDescent="0.25">
      <c r="A30" s="2" t="s">
        <v>180</v>
      </c>
      <c r="B30" s="2">
        <v>234594</v>
      </c>
      <c r="C30" s="2" t="s">
        <v>93</v>
      </c>
      <c r="D30" s="2" t="s">
        <v>167</v>
      </c>
      <c r="E30" s="2">
        <v>117423</v>
      </c>
      <c r="F30" s="2" t="s">
        <v>168</v>
      </c>
      <c r="G30" s="2" t="s">
        <v>166</v>
      </c>
      <c r="H30" s="2">
        <v>76.2</v>
      </c>
    </row>
    <row r="31" spans="1:8" x14ac:dyDescent="0.25">
      <c r="A31" s="2" t="s">
        <v>163</v>
      </c>
      <c r="B31" s="2">
        <v>234595</v>
      </c>
      <c r="C31" s="2" t="s">
        <v>95</v>
      </c>
      <c r="D31" s="2" t="s">
        <v>164</v>
      </c>
      <c r="E31" s="2">
        <v>117435</v>
      </c>
      <c r="F31" s="2" t="s">
        <v>165</v>
      </c>
      <c r="G31" s="2" t="s">
        <v>181</v>
      </c>
      <c r="H31" s="2">
        <v>127</v>
      </c>
    </row>
    <row r="32" spans="1:8" x14ac:dyDescent="0.25">
      <c r="A32" s="2" t="s">
        <v>169</v>
      </c>
      <c r="B32" s="2">
        <v>234596</v>
      </c>
      <c r="C32" s="2" t="s">
        <v>97</v>
      </c>
      <c r="D32" s="2" t="s">
        <v>167</v>
      </c>
      <c r="E32" s="2">
        <v>117447</v>
      </c>
      <c r="F32" s="2" t="s">
        <v>168</v>
      </c>
      <c r="G32" s="2" t="s">
        <v>182</v>
      </c>
      <c r="H32" s="2">
        <v>76.2</v>
      </c>
    </row>
    <row r="33" spans="1:8" x14ac:dyDescent="0.25">
      <c r="A33" s="2" t="s">
        <v>170</v>
      </c>
      <c r="B33" s="2">
        <v>234597</v>
      </c>
      <c r="C33" s="2" t="s">
        <v>99</v>
      </c>
      <c r="D33" s="2" t="s">
        <v>164</v>
      </c>
      <c r="E33" s="2">
        <v>117459</v>
      </c>
      <c r="F33" s="2" t="s">
        <v>168</v>
      </c>
      <c r="G33" s="2" t="s">
        <v>171</v>
      </c>
      <c r="H33" s="2">
        <v>127</v>
      </c>
    </row>
    <row r="34" spans="1:8" x14ac:dyDescent="0.25">
      <c r="A34" s="2" t="s">
        <v>172</v>
      </c>
      <c r="B34" s="2">
        <v>234598</v>
      </c>
      <c r="C34" s="2" t="s">
        <v>101</v>
      </c>
      <c r="D34" s="2" t="s">
        <v>167</v>
      </c>
      <c r="E34" s="2">
        <v>117471</v>
      </c>
      <c r="F34" s="2" t="s">
        <v>165</v>
      </c>
      <c r="G34" s="2" t="s">
        <v>176</v>
      </c>
      <c r="H34" s="2">
        <v>76.2</v>
      </c>
    </row>
    <row r="35" spans="1:8" x14ac:dyDescent="0.25">
      <c r="A35" s="2" t="s">
        <v>174</v>
      </c>
      <c r="B35" s="2">
        <v>234599</v>
      </c>
      <c r="C35" s="2" t="s">
        <v>103</v>
      </c>
      <c r="D35" s="2" t="s">
        <v>167</v>
      </c>
      <c r="E35" s="2">
        <v>117483</v>
      </c>
      <c r="F35" s="2" t="s">
        <v>168</v>
      </c>
      <c r="G35" s="2" t="s">
        <v>179</v>
      </c>
      <c r="H35" s="2">
        <v>76.2</v>
      </c>
    </row>
    <row r="36" spans="1:8" x14ac:dyDescent="0.25">
      <c r="A36" s="2" t="s">
        <v>163</v>
      </c>
      <c r="B36" s="2">
        <v>234600</v>
      </c>
      <c r="C36" s="2" t="s">
        <v>105</v>
      </c>
      <c r="D36" s="2" t="s">
        <v>167</v>
      </c>
      <c r="E36" s="2">
        <v>117495</v>
      </c>
      <c r="F36" s="2" t="s">
        <v>165</v>
      </c>
      <c r="G36" s="2" t="s">
        <v>175</v>
      </c>
      <c r="H36" s="2">
        <v>76.2</v>
      </c>
    </row>
    <row r="37" spans="1:8" x14ac:dyDescent="0.25">
      <c r="A37" s="2" t="s">
        <v>180</v>
      </c>
      <c r="B37" s="2">
        <v>234601</v>
      </c>
      <c r="C37" s="2" t="s">
        <v>107</v>
      </c>
      <c r="D37" s="2" t="s">
        <v>167</v>
      </c>
      <c r="E37" s="2">
        <v>117507</v>
      </c>
      <c r="F37" s="2" t="s">
        <v>168</v>
      </c>
      <c r="G37" s="2" t="s">
        <v>181</v>
      </c>
      <c r="H37" s="2">
        <v>76.2</v>
      </c>
    </row>
    <row r="38" spans="1:8" x14ac:dyDescent="0.25">
      <c r="A38" s="2" t="s">
        <v>180</v>
      </c>
      <c r="B38" s="2">
        <v>234602</v>
      </c>
      <c r="C38" s="2" t="s">
        <v>109</v>
      </c>
      <c r="D38" s="2" t="s">
        <v>167</v>
      </c>
      <c r="E38" s="2">
        <v>117519</v>
      </c>
      <c r="F38" s="2" t="s">
        <v>165</v>
      </c>
      <c r="G38" s="2" t="s">
        <v>181</v>
      </c>
      <c r="H38" s="2">
        <v>76.2</v>
      </c>
    </row>
    <row r="39" spans="1:8" x14ac:dyDescent="0.25">
      <c r="A39" s="2" t="s">
        <v>169</v>
      </c>
      <c r="B39" s="2">
        <v>234603</v>
      </c>
      <c r="C39" s="2" t="s">
        <v>111</v>
      </c>
      <c r="D39" s="2" t="s">
        <v>164</v>
      </c>
      <c r="E39" s="2">
        <v>117531</v>
      </c>
      <c r="F39" s="2" t="s">
        <v>168</v>
      </c>
      <c r="G39" s="2" t="s">
        <v>181</v>
      </c>
      <c r="H39" s="2">
        <v>127</v>
      </c>
    </row>
    <row r="40" spans="1:8" x14ac:dyDescent="0.25">
      <c r="A40" s="2" t="s">
        <v>163</v>
      </c>
      <c r="B40" s="2">
        <v>234604</v>
      </c>
      <c r="C40" s="2" t="s">
        <v>113</v>
      </c>
      <c r="D40" s="2" t="s">
        <v>164</v>
      </c>
      <c r="E40" s="2">
        <v>117543</v>
      </c>
      <c r="F40" s="2" t="s">
        <v>168</v>
      </c>
      <c r="G40" s="2" t="s">
        <v>175</v>
      </c>
      <c r="H40" s="2">
        <v>127</v>
      </c>
    </row>
    <row r="41" spans="1:8" x14ac:dyDescent="0.25">
      <c r="A41" s="2" t="s">
        <v>172</v>
      </c>
      <c r="B41" s="2">
        <v>234605</v>
      </c>
      <c r="C41" s="2" t="s">
        <v>115</v>
      </c>
      <c r="D41" s="2" t="s">
        <v>164</v>
      </c>
      <c r="E41" s="2">
        <v>117555</v>
      </c>
      <c r="F41" s="2" t="s">
        <v>165</v>
      </c>
      <c r="G41" s="2" t="s">
        <v>173</v>
      </c>
      <c r="H41" s="2">
        <v>127</v>
      </c>
    </row>
    <row r="42" spans="1:8" x14ac:dyDescent="0.25">
      <c r="A42" s="2" t="s">
        <v>163</v>
      </c>
      <c r="B42" s="2">
        <v>234606</v>
      </c>
      <c r="C42" s="2" t="s">
        <v>117</v>
      </c>
      <c r="D42" s="2" t="s">
        <v>164</v>
      </c>
      <c r="E42" s="2">
        <v>117567</v>
      </c>
      <c r="F42" s="2" t="s">
        <v>168</v>
      </c>
      <c r="G42" s="2" t="s">
        <v>175</v>
      </c>
      <c r="H42" s="2">
        <v>127</v>
      </c>
    </row>
    <row r="43" spans="1:8" x14ac:dyDescent="0.25">
      <c r="A43" s="2" t="s">
        <v>163</v>
      </c>
      <c r="B43" s="2">
        <v>234607</v>
      </c>
      <c r="C43" s="2" t="s">
        <v>119</v>
      </c>
      <c r="D43" s="2" t="s">
        <v>164</v>
      </c>
      <c r="E43" s="2">
        <v>117579</v>
      </c>
      <c r="F43" s="2" t="s">
        <v>165</v>
      </c>
      <c r="G43" s="2" t="s">
        <v>175</v>
      </c>
      <c r="H43" s="2">
        <v>127</v>
      </c>
    </row>
    <row r="44" spans="1:8" x14ac:dyDescent="0.25">
      <c r="A44" s="2" t="s">
        <v>163</v>
      </c>
      <c r="B44" s="2">
        <v>234608</v>
      </c>
      <c r="C44" s="2" t="s">
        <v>121</v>
      </c>
      <c r="D44" s="2" t="s">
        <v>164</v>
      </c>
      <c r="E44" s="2">
        <v>117591</v>
      </c>
      <c r="F44" s="2" t="s">
        <v>168</v>
      </c>
      <c r="G44" s="2" t="s">
        <v>175</v>
      </c>
      <c r="H44" s="2">
        <v>127</v>
      </c>
    </row>
    <row r="45" spans="1:8" x14ac:dyDescent="0.25">
      <c r="A45" s="2" t="s">
        <v>163</v>
      </c>
      <c r="B45" s="2">
        <v>234609</v>
      </c>
      <c r="C45" s="2" t="s">
        <v>123</v>
      </c>
      <c r="D45" s="2" t="s">
        <v>167</v>
      </c>
      <c r="E45" s="2">
        <v>117603</v>
      </c>
      <c r="F45" s="2" t="s">
        <v>165</v>
      </c>
      <c r="G45" s="2" t="s">
        <v>177</v>
      </c>
      <c r="H45" s="2">
        <v>76.2</v>
      </c>
    </row>
    <row r="46" spans="1:8" x14ac:dyDescent="0.25">
      <c r="A46" s="2" t="s">
        <v>169</v>
      </c>
      <c r="B46" s="2">
        <v>234610</v>
      </c>
      <c r="C46" s="2" t="s">
        <v>125</v>
      </c>
      <c r="D46" s="2" t="s">
        <v>167</v>
      </c>
      <c r="E46" s="2">
        <v>117615</v>
      </c>
      <c r="F46" s="2" t="s">
        <v>168</v>
      </c>
      <c r="G46" s="2" t="s">
        <v>182</v>
      </c>
      <c r="H46" s="2">
        <v>76.2</v>
      </c>
    </row>
    <row r="47" spans="1:8" x14ac:dyDescent="0.25">
      <c r="A47" s="2" t="s">
        <v>170</v>
      </c>
      <c r="B47" s="2">
        <v>234611</v>
      </c>
      <c r="C47" s="2" t="s">
        <v>127</v>
      </c>
      <c r="D47" s="2" t="s">
        <v>167</v>
      </c>
      <c r="E47" s="2">
        <v>117627</v>
      </c>
      <c r="F47" s="2" t="s">
        <v>168</v>
      </c>
      <c r="G47" s="2" t="s">
        <v>173</v>
      </c>
      <c r="H47" s="2">
        <v>76.2</v>
      </c>
    </row>
    <row r="48" spans="1:8" x14ac:dyDescent="0.25">
      <c r="A48" s="2" t="s">
        <v>172</v>
      </c>
      <c r="B48" s="2">
        <v>234612</v>
      </c>
      <c r="C48" s="2" t="s">
        <v>129</v>
      </c>
      <c r="D48" s="2" t="s">
        <v>167</v>
      </c>
      <c r="E48" s="2">
        <v>117639</v>
      </c>
      <c r="F48" s="2" t="s">
        <v>165</v>
      </c>
      <c r="G48" s="2" t="s">
        <v>175</v>
      </c>
      <c r="H48" s="2">
        <v>76.2</v>
      </c>
    </row>
    <row r="49" spans="1:8" x14ac:dyDescent="0.25">
      <c r="A49" s="2" t="s">
        <v>174</v>
      </c>
      <c r="B49" s="2">
        <v>234613</v>
      </c>
      <c r="C49" s="2" t="s">
        <v>131</v>
      </c>
      <c r="D49" s="2" t="s">
        <v>167</v>
      </c>
      <c r="E49" s="2">
        <v>117651</v>
      </c>
      <c r="F49" s="2" t="s">
        <v>168</v>
      </c>
      <c r="G49" s="2" t="s">
        <v>175</v>
      </c>
      <c r="H49" s="2">
        <v>76.2</v>
      </c>
    </row>
    <row r="50" spans="1:8" x14ac:dyDescent="0.25">
      <c r="A50" s="2" t="s">
        <v>163</v>
      </c>
      <c r="B50" s="2">
        <v>234614</v>
      </c>
      <c r="C50" s="2" t="s">
        <v>133</v>
      </c>
      <c r="D50" s="2" t="s">
        <v>167</v>
      </c>
      <c r="E50" s="2">
        <v>117663</v>
      </c>
      <c r="F50" s="2" t="s">
        <v>165</v>
      </c>
      <c r="G50" s="2" t="s">
        <v>175</v>
      </c>
      <c r="H50" s="2">
        <v>76.2</v>
      </c>
    </row>
    <row r="51" spans="1:8" x14ac:dyDescent="0.25">
      <c r="A51" s="2" t="s">
        <v>180</v>
      </c>
      <c r="B51" s="2">
        <v>234615</v>
      </c>
      <c r="C51" s="2" t="s">
        <v>135</v>
      </c>
      <c r="D51" s="2" t="s">
        <v>167</v>
      </c>
      <c r="E51" s="2">
        <v>117675</v>
      </c>
      <c r="F51" s="2" t="s">
        <v>168</v>
      </c>
      <c r="G51" s="2" t="s">
        <v>166</v>
      </c>
      <c r="H51" s="2">
        <v>76.2</v>
      </c>
    </row>
    <row r="52" spans="1:8" x14ac:dyDescent="0.25">
      <c r="A52" s="2" t="s">
        <v>180</v>
      </c>
      <c r="B52" s="2">
        <v>234616</v>
      </c>
      <c r="C52" s="2" t="s">
        <v>137</v>
      </c>
      <c r="D52" s="2" t="s">
        <v>167</v>
      </c>
      <c r="E52" s="2">
        <v>117687</v>
      </c>
      <c r="F52" s="2" t="s">
        <v>165</v>
      </c>
      <c r="G52" s="2" t="s">
        <v>181</v>
      </c>
      <c r="H52" s="2">
        <v>76.2</v>
      </c>
    </row>
    <row r="53" spans="1:8" x14ac:dyDescent="0.25">
      <c r="A53" s="2" t="s">
        <v>169</v>
      </c>
      <c r="B53" s="2">
        <v>234617</v>
      </c>
      <c r="C53" s="2" t="s">
        <v>139</v>
      </c>
      <c r="D53" s="2" t="s">
        <v>167</v>
      </c>
      <c r="E53" s="2">
        <v>117699</v>
      </c>
      <c r="F53" s="2" t="s">
        <v>168</v>
      </c>
      <c r="G53" s="2" t="s">
        <v>181</v>
      </c>
      <c r="H53" s="2">
        <v>76.2</v>
      </c>
    </row>
    <row r="54" spans="1:8" x14ac:dyDescent="0.25">
      <c r="A54" s="2" t="s">
        <v>170</v>
      </c>
      <c r="B54" s="2">
        <v>234618</v>
      </c>
      <c r="C54" s="2" t="s">
        <v>141</v>
      </c>
      <c r="D54" s="2" t="s">
        <v>167</v>
      </c>
      <c r="E54" s="2">
        <v>117711</v>
      </c>
      <c r="F54" s="2" t="s">
        <v>168</v>
      </c>
      <c r="G54" s="2" t="s">
        <v>173</v>
      </c>
      <c r="H54" s="2">
        <v>76.2</v>
      </c>
    </row>
    <row r="55" spans="1:8" x14ac:dyDescent="0.25">
      <c r="A55" s="2" t="s">
        <v>172</v>
      </c>
      <c r="B55" s="2">
        <v>234619</v>
      </c>
      <c r="C55" s="2" t="s">
        <v>143</v>
      </c>
      <c r="D55" s="2" t="s">
        <v>164</v>
      </c>
      <c r="E55" s="2">
        <v>117723</v>
      </c>
      <c r="F55" s="2" t="s">
        <v>165</v>
      </c>
      <c r="G55" s="2" t="s">
        <v>175</v>
      </c>
      <c r="H55" s="2">
        <v>127</v>
      </c>
    </row>
    <row r="56" spans="1:8" x14ac:dyDescent="0.25">
      <c r="A56" s="2" t="s">
        <v>174</v>
      </c>
      <c r="B56" s="2">
        <v>234620</v>
      </c>
      <c r="C56" s="2" t="s">
        <v>145</v>
      </c>
      <c r="D56" s="2" t="s">
        <v>164</v>
      </c>
      <c r="E56" s="2">
        <v>117735</v>
      </c>
      <c r="F56" s="2" t="s">
        <v>168</v>
      </c>
      <c r="G56" s="2" t="s">
        <v>175</v>
      </c>
      <c r="H56" s="2">
        <v>127</v>
      </c>
    </row>
    <row r="57" spans="1:8" x14ac:dyDescent="0.25">
      <c r="A57" s="2" t="s">
        <v>163</v>
      </c>
      <c r="B57" s="2">
        <v>234621</v>
      </c>
      <c r="C57" s="2" t="s">
        <v>147</v>
      </c>
      <c r="D57" s="2" t="s">
        <v>164</v>
      </c>
      <c r="E57" s="2">
        <v>117747</v>
      </c>
      <c r="F57" s="2" t="s">
        <v>165</v>
      </c>
      <c r="G57" s="2" t="s">
        <v>177</v>
      </c>
      <c r="H57" s="2">
        <v>127</v>
      </c>
    </row>
    <row r="58" spans="1:8" x14ac:dyDescent="0.25">
      <c r="A58" s="2" t="s">
        <v>163</v>
      </c>
      <c r="B58" s="2">
        <v>234622</v>
      </c>
      <c r="C58" s="2" t="s">
        <v>149</v>
      </c>
      <c r="D58" s="2" t="s">
        <v>167</v>
      </c>
      <c r="E58" s="2">
        <v>117759</v>
      </c>
      <c r="F58" s="2" t="s">
        <v>168</v>
      </c>
      <c r="G58" s="2" t="s">
        <v>176</v>
      </c>
      <c r="H58" s="2">
        <v>76.2</v>
      </c>
    </row>
    <row r="59" spans="1:8" x14ac:dyDescent="0.25">
      <c r="A59" s="2" t="s">
        <v>163</v>
      </c>
      <c r="B59" s="2">
        <v>234623</v>
      </c>
      <c r="C59" s="2" t="s">
        <v>151</v>
      </c>
      <c r="D59" s="2" t="s">
        <v>167</v>
      </c>
      <c r="E59" s="2">
        <v>117771</v>
      </c>
      <c r="F59" s="2" t="s">
        <v>165</v>
      </c>
      <c r="G59" s="2" t="s">
        <v>175</v>
      </c>
      <c r="H59" s="2">
        <v>76.2</v>
      </c>
    </row>
    <row r="60" spans="1:8" x14ac:dyDescent="0.25">
      <c r="A60" s="2" t="s">
        <v>169</v>
      </c>
      <c r="B60" s="2">
        <v>234624</v>
      </c>
      <c r="C60" s="2" t="s">
        <v>153</v>
      </c>
      <c r="D60" s="2" t="s">
        <v>167</v>
      </c>
      <c r="E60" s="2">
        <v>117783</v>
      </c>
      <c r="F60" s="2" t="s">
        <v>168</v>
      </c>
      <c r="G60" s="2" t="s">
        <v>173</v>
      </c>
      <c r="H60" s="2">
        <v>76.2</v>
      </c>
    </row>
    <row r="61" spans="1:8" x14ac:dyDescent="0.25">
      <c r="A61" s="2" t="s">
        <v>170</v>
      </c>
      <c r="B61" s="2">
        <v>234625</v>
      </c>
      <c r="C61" s="2" t="s">
        <v>155</v>
      </c>
      <c r="D61" s="2" t="s">
        <v>167</v>
      </c>
      <c r="E61" s="2">
        <v>117795</v>
      </c>
      <c r="F61" s="2" t="s">
        <v>165</v>
      </c>
      <c r="G61" s="2" t="s">
        <v>173</v>
      </c>
      <c r="H61" s="2">
        <v>76.2</v>
      </c>
    </row>
  </sheetData>
  <phoneticPr fontId="1" type="noConversion"/>
  <conditionalFormatting sqref="A1:B1">
    <cfRule type="duplicateValues" dxfId="4" priority="3"/>
  </conditionalFormatting>
  <dataValidations count="2">
    <dataValidation type="textLength" operator="lessThanOrEqual" showInputMessage="1" showErrorMessage="1" errorTitle="Длина превышена" error="Это значение должно иметь длину 20 или меньше символов." promptTitle="Текст (обязательные)" prompt="Максимальная длина: 20 символов." sqref="B2:B6" xr:uid="{3E302931-385E-4BE9-9C76-819BCD7D478C}">
      <formula1>20</formula1>
    </dataValidation>
    <dataValidation showInputMessage="1" showErrorMessage="1" error=" " promptTitle="Поиск (обязательные)" prompt="Эта запись Клиент должна уже существовать в Microsoft Dynamics 365 или в этом исходном файле." sqref="C2:C61" xr:uid="{4B21A2BC-544B-4189-BEB7-B9840AA77F66}"/>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40B7196-5EF6-408E-AD04-994DEB3243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Завдання</vt:lpstr>
      <vt:lpstr>Виконаня</vt:lpstr>
      <vt:lpstr>Користувачі</vt:lpstr>
      <vt:lpstr>Рахунки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Карп'юк Роман</dc:creator>
  <cp:keywords/>
  <dc:description/>
  <cp:lastModifiedBy>Володимир Возняк</cp:lastModifiedBy>
  <cp:revision/>
  <dcterms:created xsi:type="dcterms:W3CDTF">2025-07-03T14:03:34Z</dcterms:created>
  <dcterms:modified xsi:type="dcterms:W3CDTF">2025-11-28T19:02:03Z</dcterms:modified>
  <cp:category/>
  <cp:contentStatus/>
</cp:coreProperties>
</file>